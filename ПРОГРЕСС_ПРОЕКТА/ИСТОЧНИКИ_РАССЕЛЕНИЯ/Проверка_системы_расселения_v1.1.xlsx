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ee48fb76541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" sheetId="1" r:id="R7229a5ebd5fe4586"/>
    <x:sheet xmlns:r="http://schemas.openxmlformats.org/officeDocument/2006/relationships" name="Эталон мест" sheetId="2" r:id="R61738a86c8b049aa"/>
    <x:sheet xmlns:r="http://schemas.openxmlformats.org/officeDocument/2006/relationships" name="Вахта Деушева" sheetId="3" r:id="R8dc14dbe84f84662"/>
    <x:sheet xmlns:r="http://schemas.openxmlformats.org/officeDocument/2006/relationships" name="Вахта Косарева" sheetId="4" r:id="Reb6bc151e3104368"/>
    <x:sheet xmlns:r="http://schemas.openxmlformats.org/officeDocument/2006/relationships" name="Особые графики" sheetId="5" r:id="R04b122b3059f440e"/>
    <x:sheet xmlns:r="http://schemas.openxmlformats.org/officeDocument/2006/relationships" name="Требует решения" sheetId="6" r:id="Rc925026dad0e45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1F1F"/>
      <x:name val="Carlito"/>
    </x:font>
    <x:font>
      <x:b/>
      <x:sz val="11"/>
      <x:color rgb="FF7F6000"/>
      <x:name val="Carlito"/>
    </x:font>
    <x:font>
      <x:b/>
      <x:sz val="18"/>
      <x:color rgb="FFFFFFFF"/>
      <x:name val="Carlito"/>
    </x:font>
    <x:font>
      <x:b/>
      <x:sz val="9"/>
      <x:color rgb="FF1F1F1F"/>
      <x:name val="Carlito"/>
    </x:font>
    <x:font>
      <x:b/>
      <x:sz val="12"/>
      <x:color rgb="FF9C0006"/>
      <x:name val="Carlito"/>
    </x:font>
    <x:font>
      <x:b/>
      <x:sz val="10"/>
      <x:color rgb="FFFFFFFF"/>
      <x:name val="Carlito"/>
    </x:font>
    <x:font>
      <x:b/>
      <x:sz val="10"/>
      <x:color rgb="FF1F1F1F"/>
      <x:name val="Carlito"/>
    </x:font>
    <x:font>
      <x:i/>
      <x:sz val="9"/>
      <x:color rgb="FF1F1F1F"/>
      <x:name val="Carlito"/>
    </x:font>
    <x:font>
      <x:sz val="9"/>
      <x:color rgb="FF1F1F1F"/>
      <x:name val="Carlito"/>
    </x:font>
    <x:font>
      <x:b/>
      <x:sz val="10"/>
      <x:color rgb="FF7F6000"/>
      <x:name val="Carlito"/>
    </x:font>
    <x:font>
      <x:sz val="10"/>
      <x:color rgb="FF1F1F1F"/>
      <x:name val="Carlito"/>
    </x:font>
    <x:font>
      <x:b/>
      <x:sz val="9"/>
      <x:color rgb="FF666666"/>
      <x:name val="Carlito"/>
    </x:font>
    <x:font>
      <x:b/>
      <x:sz val="10"/>
      <x:color rgb="FF666666"/>
      <x:name val="Carlito"/>
    </x:font>
    <x:font>
      <x:b/>
      <x:sz val="10"/>
      <x:color rgb="FF9C0006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  <x:fill>
      <x:patternFill patternType="solid">
        <x:fgColor rgb="FFF5F5F5"/>
      </x:patternFill>
    </x:fill>
    <x:fill>
      <x:patternFill patternType="solid">
        <x:fgColor rgb="FFBFBFBF"/>
      </x:patternFill>
    </x:fill>
    <x:fill>
      <x:patternFill patternType="solid">
        <x:fgColor rgb="FFE4DFEC"/>
      </x:patternFill>
    </x:fill>
    <x:fill>
      <x:patternFill patternType="solid">
        <x:fgColor rgb="FFE2F0D9"/>
      </x:patternFill>
    </x:fill>
    <x:fill>
      <x:patternFill patternType="solid">
        <x:fgColor rgb="FFE7E6E6"/>
      </x:patternFill>
    </x:fill>
    <x:fill>
      <x:patternFill patternType="solid">
        <x:fgColor rgb="FFFFF9E6"/>
      </x:patternFill>
    </x:fill>
  </x:fills>
  <x:borders count="9">
    <x:border/>
    <x:border>
      <x:left style="medium">
        <x:color rgb="FF7F6000"/>
      </x:left>
      <x:top style="medium">
        <x:color rgb="FF7F6000"/>
      </x:top>
      <x:bottom style="medium">
        <x:color rgb="FF7F6000"/>
      </x:bottom>
    </x:border>
    <x:border>
      <x:top style="medium">
        <x:color rgb="FF7F6000"/>
      </x:top>
      <x:bottom style="medium">
        <x:color rgb="FF7F6000"/>
      </x:bottom>
    </x:border>
    <x:border>
      <x:right style="medium">
        <x:color rgb="FF7F6000"/>
      </x:right>
      <x:top style="medium">
        <x:color rgb="FF7F6000"/>
      </x:top>
      <x:bottom style="medium">
        <x:color rgb="FF7F600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medium">
        <x:color rgb="FF9C0006"/>
      </x:left>
      <x:top style="medium">
        <x:color rgb="FF9C0006"/>
      </x:top>
      <x:bottom style="medium">
        <x:color rgb="FF9C0006"/>
      </x:bottom>
    </x:border>
    <x:border>
      <x:top style="medium">
        <x:color rgb="FF9C0006"/>
      </x:top>
      <x:bottom style="medium">
        <x:color rgb="FF9C0006"/>
      </x:bottom>
    </x:border>
    <x:border>
      <x:right style="medium">
        <x:color rgb="FF9C0006"/>
      </x:right>
      <x:top style="medium">
        <x:color rgb="FF9C0006"/>
      </x:top>
      <x:bottom style="medium">
        <x:color rgb="FF9C0006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horizontal="center"/>
    </x:xf>
    <x:xf numFmtId="0" fontId="4" fillId="2" borderId="4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horizontal="center" wrapText="1"/>
    </x:xf>
    <x:xf numFmtId="0" fontId="6" fillId="5" borderId="7" xfId="0" applyNumberFormat="1" applyFont="1" applyFill="1" applyBorder="1" applyAlignment="1">
      <x:alignment horizontal="center" wrapText="1"/>
    </x:xf>
    <x:xf numFmtId="0" fontId="6" fillId="5" borderId="8" xfId="0" applyNumberFormat="1" applyFont="1" applyFill="1" applyBorder="1" applyAlignment="1">
      <x:alignment horizontal="center" wrapText="1"/>
    </x:xf>
    <x:xf numFmtId="0" fontId="6" fillId="5" borderId="6" xfId="0" applyNumberFormat="1" applyFont="1" applyFill="1" applyBorder="1" applyAlignment="1">
      <x:alignment horizontal="center" vertical="center" wrapText="1"/>
    </x:xf>
    <x:xf numFmtId="0" fontId="6" fillId="5" borderId="7" xfId="0" applyNumberFormat="1" applyFont="1" applyFill="1" applyBorder="1" applyAlignment="1">
      <x:alignment horizontal="center" vertical="center" wrapText="1"/>
    </x:xf>
    <x:xf numFmtId="0" fontId="6" fillId="5" borderId="8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5" xfId="0" applyNumberFormat="1" applyFont="1" applyFill="1" applyBorder="1"/>
    <x:xf numFmtId="0" fontId="8" fillId="7" borderId="5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horizontal="center" wrapText="1"/>
    </x:xf>
    <x:xf numFmtId="0" fontId="8" fillId="7" borderId="5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/>
    <x:xf numFmtId="0" fontId="7" fillId="2" borderId="4" xfId="0" applyNumberFormat="1" applyFont="1" applyFill="1" applyBorder="1"/>
    <x:xf numFmtId="0" fontId="7" fillId="2" borderId="4" xfId="0" applyNumberFormat="1" applyFont="1" applyFill="1" applyBorder="1" applyAlignment="1">
      <x:alignment wrapText="1"/>
    </x:xf>
    <x:xf numFmtId="0" fontId="7" fillId="2" borderId="4" xfId="0" applyNumberFormat="1" applyFont="1" applyFill="1" applyBorder="1" applyAlignment="1">
      <x:alignment horizontal="center" wrapText="1"/>
    </x:xf>
    <x:xf numFmtId="0" fontId="7" fillId="2" borderId="4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5" xfId="0" applyNumberFormat="1" applyFont="1" applyFill="1" applyBorder="1"/>
    <x:xf numFmtId="0" fontId="10" fillId="0" borderId="5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vertical="center" wrapText="1"/>
    </x:xf>
    <x:xf numFmtId="0" fontId="10" fillId="0" borderId="5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horizont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  <x:xf numFmtId="0" fontId="12" fillId="0" borderId="5" xfId="0" applyNumberFormat="1" applyFont="1" applyFill="1" applyBorder="1"/>
    <x:xf numFmtId="0" fontId="12" fillId="0" borderId="5" xfId="0" applyNumberFormat="1" applyFont="1" applyFill="1" applyBorder="1" applyAlignment="1">
      <x:alignment wrapText="1"/>
    </x:xf>
    <x:xf numFmtId="0" fontId="12" fillId="0" borderId="5" xfId="0" applyNumberFormat="1" applyFont="1" applyFill="1" applyBorder="1" applyAlignment="1">
      <x:alignment vertical="center" wrapText="1"/>
    </x:xf>
    <x:xf numFmtId="0" fontId="12" fillId="0" borderId="5" xfId="0" applyNumberFormat="1" applyFont="1" applyFill="1" applyBorder="1" applyAlignment="1">
      <x:alignment horizontal="center" vertical="center" wrapText="1"/>
    </x:xf>
    <x:xf numFmtId="0" fontId="12" fillId="9" borderId="5" xfId="0" applyNumberFormat="1" applyFont="1" applyFill="1" applyBorder="1" applyAlignment="1">
      <x:alignment horizontal="center" vertical="center" wrapText="1"/>
    </x:xf>
    <x:xf numFmtId="0" fontId="13" fillId="9" borderId="5" xfId="0" applyNumberFormat="1" applyFont="1" applyFill="1" applyBorder="1" applyAlignment="1">
      <x:alignment horizontal="center" vertical="center" wrapText="1"/>
    </x:xf>
    <x:xf numFmtId="0" fontId="12" fillId="10" borderId="5" xfId="0" applyNumberFormat="1" applyFont="1" applyFill="1" applyBorder="1" applyAlignment="1">
      <x:alignment horizontal="center" vertical="center" wrapText="1"/>
    </x:xf>
    <x:xf numFmtId="0" fontId="12" fillId="10" borderId="5" xfId="0" applyNumberFormat="1" applyFont="1" applyFill="1" applyBorder="1" applyAlignment="1">
      <x:alignment vertical="center" wrapText="1"/>
    </x:xf>
    <x:xf numFmtId="0" fontId="13" fillId="10" borderId="5" xfId="0" applyNumberFormat="1" applyFont="1" applyFill="1" applyBorder="1" applyAlignment="1">
      <x:alignment horizontal="center" vertical="center" wrapText="1"/>
    </x:xf>
    <x:xf numFmtId="0" fontId="11" fillId="4" borderId="1" xfId="0" applyNumberFormat="1" applyFont="1" applyFill="1" applyBorder="1"/>
    <x:xf numFmtId="0" fontId="11" fillId="4" borderId="2" xfId="0" applyNumberFormat="1" applyFont="1" applyFill="1" applyBorder="1"/>
    <x:xf numFmtId="0" fontId="11" fillId="4" borderId="3" xfId="0" applyNumberFormat="1" applyFont="1" applyFill="1" applyBorder="1"/>
    <x:xf numFmtId="0" fontId="11" fillId="4" borderId="1" xfId="0" applyNumberFormat="1" applyFont="1" applyFill="1" applyBorder="1" applyAlignment="1">
      <x:alignment wrapText="1"/>
    </x:xf>
    <x:xf numFmtId="0" fontId="11" fillId="4" borderId="2" xfId="0" applyNumberFormat="1" applyFont="1" applyFill="1" applyBorder="1" applyAlignment="1">
      <x:alignment wrapText="1"/>
    </x:xf>
    <x:xf numFmtId="0" fontId="11" fillId="4" borderId="3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horizontal="center" wrapText="1"/>
    </x:xf>
    <x:xf numFmtId="0" fontId="11" fillId="4" borderId="2" xfId="0" applyNumberFormat="1" applyFont="1" applyFill="1" applyBorder="1" applyAlignment="1">
      <x:alignment horizontal="center" wrapText="1"/>
    </x:xf>
    <x:xf numFmtId="0" fontId="11" fillId="4" borderId="3" xfId="0" applyNumberFormat="1" applyFont="1" applyFill="1" applyBorder="1" applyAlignment="1">
      <x:alignment horizont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1" fillId="4" borderId="2" xfId="0" applyNumberFormat="1" applyFont="1" applyFill="1" applyBorder="1" applyAlignment="1">
      <x:alignment horizontal="center" vertical="center" wrapText="1"/>
    </x:xf>
    <x:xf numFmtId="0" fontId="11" fillId="4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/>
    <x:xf numFmtId="0" fontId="7" fillId="6" borderId="4" xfId="0" applyNumberFormat="1" applyFont="1" applyFill="1" applyBorder="1" applyAlignment="1">
      <x:alignment horizontal="center"/>
    </x:xf>
    <x:xf numFmtId="0" fontId="7" fillId="6" borderId="4" xfId="0" applyNumberFormat="1" applyFont="1" applyFill="1" applyBorder="1" applyAlignment="1">
      <x:alignment horizontal="center" vertical="center"/>
    </x:xf>
    <x:xf numFmtId="0" fontId="12" fillId="7" borderId="5" xfId="0" applyNumberFormat="1" applyFont="1" applyFill="1" applyBorder="1" applyAlignment="1">
      <x:alignment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12" fillId="4" borderId="5" xfId="0" applyNumberFormat="1" applyFont="1" applyFill="1" applyBorder="1" applyAlignment="1">
      <x:alignment vertical="center" wrapText="1"/>
    </x:xf>
    <x:xf numFmtId="0" fontId="11" fillId="4" borderId="5" xfId="0" applyNumberFormat="1" applyFont="1" applyFill="1" applyBorder="1" applyAlignment="1">
      <x:alignment vertical="center" wrapText="1"/>
    </x:xf>
    <x:xf numFmtId="0" fontId="5" fillId="11" borderId="5" xfId="0" applyNumberFormat="1" applyFont="1" applyFill="1" applyBorder="1" applyAlignment="1">
      <x:alignment horizontal="center" vertical="center" wrapText="1"/>
    </x:xf>
    <x:xf numFmtId="0" fontId="5" fillId="10" borderId="5" xfId="0" applyNumberFormat="1" applyFont="1" applyFill="1" applyBorder="1" applyAlignment="1">
      <x:alignment horizontal="center" vertical="center" wrapText="1"/>
    </x:xf>
    <x:xf numFmtId="0" fontId="12" fillId="12" borderId="5" xfId="0" applyNumberFormat="1" applyFont="1" applyFill="1" applyBorder="1" applyAlignment="1">
      <x:alignment vertical="center" wrapText="1"/>
    </x:xf>
    <x:xf numFmtId="0" fontId="12" fillId="9" borderId="5" xfId="0" applyNumberFormat="1" applyFont="1" applyFill="1" applyBorder="1" applyAlignment="1">
      <x:alignment vertical="center" wrapText="1"/>
    </x:xf>
    <x:xf numFmtId="0" fontId="14" fillId="9" borderId="5" xfId="0" applyNumberFormat="1" applyFont="1" applyFill="1" applyBorder="1" applyAlignment="1">
      <x:alignment vertical="center" wrapText="1"/>
    </x:xf>
    <x:xf numFmtId="0" fontId="14" fillId="10" borderId="5" xfId="0" applyNumberFormat="1" applyFont="1" applyFill="1" applyBorder="1" applyAlignment="1">
      <x:alignment vertical="center" wrapText="1"/>
    </x:xf>
    <x:xf numFmtId="0" fontId="12" fillId="5" borderId="5" xfId="0" applyNumberFormat="1" applyFont="1" applyFill="1" applyBorder="1" applyAlignment="1">
      <x:alignment vertical="center" wrapText="1"/>
    </x:xf>
    <x:xf numFmtId="0" fontId="15" fillId="5" borderId="5" xfId="0" applyNumberFormat="1" applyFont="1" applyFill="1" applyBorder="1" applyAlignment="1">
      <x:alignment vertical="center" wrapText="1"/>
    </x:xf>
    <x:xf numFmtId="0" fontId="12" fillId="13" borderId="5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12" fillId="4" borderId="5" xfId="0" applyNumberFormat="1" applyFont="1" applyFill="1" applyBorder="1" applyAlignment="1">
      <x:alignment horizontal="center" vertical="center" wrapText="1"/>
    </x:xf>
    <x:xf numFmtId="0" fontId="11" fillId="4" borderId="5" xfId="0" applyNumberFormat="1" applyFont="1" applyFill="1" applyBorder="1" applyAlignment="1">
      <x:alignment horizontal="center" vertical="center" wrapText="1"/>
    </x:xf>
    <x:xf numFmtId="0" fontId="15" fillId="5" borderId="0" xfId="0" applyNumberFormat="1" applyFont="1" applyFill="1" applyBorder="1"/>
    <x:xf numFmtId="0" fontId="15" fillId="5" borderId="6" xfId="0" applyNumberFormat="1" applyFont="1" applyFill="1" applyBorder="1"/>
    <x:xf numFmtId="0" fontId="15" fillId="5" borderId="7" xfId="0" applyNumberFormat="1" applyFont="1" applyFill="1" applyBorder="1"/>
    <x:xf numFmtId="0" fontId="15" fillId="5" borderId="8" xfId="0" applyNumberFormat="1" applyFont="1" applyFill="1" applyBorder="1"/>
    <x:xf numFmtId="0" fontId="15" fillId="5" borderId="6" xfId="0" applyNumberFormat="1" applyFont="1" applyFill="1" applyBorder="1" applyAlignment="1">
      <x:alignment wrapText="1"/>
    </x:xf>
    <x:xf numFmtId="0" fontId="15" fillId="5" borderId="7" xfId="0" applyNumberFormat="1" applyFont="1" applyFill="1" applyBorder="1" applyAlignment="1">
      <x:alignment wrapText="1"/>
    </x:xf>
    <x:xf numFmtId="0" fontId="15" fillId="5" borderId="8" xfId="0" applyNumberFormat="1" applyFont="1" applyFill="1" applyBorder="1" applyAlignment="1">
      <x:alignment wrapText="1"/>
    </x:xf>
    <x:xf numFmtId="0" fontId="15" fillId="5" borderId="6" xfId="0" applyNumberFormat="1" applyFont="1" applyFill="1" applyBorder="1" applyAlignment="1">
      <x:alignment horizontal="center" wrapText="1"/>
    </x:xf>
    <x:xf numFmtId="0" fontId="15" fillId="5" borderId="7" xfId="0" applyNumberFormat="1" applyFont="1" applyFill="1" applyBorder="1" applyAlignment="1">
      <x:alignment horizontal="center" wrapText="1"/>
    </x:xf>
    <x:xf numFmtId="0" fontId="15" fillId="5" borderId="8" xfId="0" applyNumberFormat="1" applyFont="1" applyFill="1" applyBorder="1" applyAlignment="1">
      <x:alignment horizontal="center" wrapText="1"/>
    </x:xf>
    <x:xf numFmtId="0" fontId="15" fillId="5" borderId="6" xfId="0" applyNumberFormat="1" applyFont="1" applyFill="1" applyBorder="1" applyAlignment="1">
      <x:alignment horizontal="center" vertical="center" wrapText="1"/>
    </x:xf>
    <x:xf numFmtId="0" fontId="15" fillId="5" borderId="7" xfId="0" applyNumberFormat="1" applyFont="1" applyFill="1" applyBorder="1" applyAlignment="1">
      <x:alignment horizontal="center" vertical="center" wrapText="1"/>
    </x:xf>
    <x:xf numFmtId="0" fontId="15" fillId="5" borderId="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a1eb9f501e4475" /><Relationship Type="http://schemas.openxmlformats.org/officeDocument/2006/relationships/theme" Target="/xl/theme/theme1.xml" Id="R59da56fe64544006" /><Relationship Type="http://schemas.openxmlformats.org/officeDocument/2006/relationships/sharedStrings" Target="/xl/sharedStrings.xml" Id="R01437d2cf261456c" /><Relationship Type="http://schemas.openxmlformats.org/officeDocument/2006/relationships/worksheet" Target="/xl/worksheets/sheet1.xml" Id="R7229a5ebd5fe4586" /><Relationship Type="http://schemas.openxmlformats.org/officeDocument/2006/relationships/worksheet" Target="/xl/worksheets/sheet2.xml" Id="R61738a86c8b049aa" /><Relationship Type="http://schemas.openxmlformats.org/officeDocument/2006/relationships/worksheet" Target="/xl/worksheets/sheet3.xml" Id="R8dc14dbe84f84662" /><Relationship Type="http://schemas.openxmlformats.org/officeDocument/2006/relationships/worksheet" Target="/xl/worksheets/sheet4.xml" Id="Reb6bc151e3104368" /><Relationship Type="http://schemas.openxmlformats.org/officeDocument/2006/relationships/worksheet" Target="/xl/worksheets/sheet5.xml" Id="R04b122b3059f440e" /><Relationship Type="http://schemas.openxmlformats.org/officeDocument/2006/relationships/worksheet" Target="/xl/worksheets/sheet6.xml" Id="Rc925026dad0e45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33" hidden="0" customWidth="1"/>
    <x:col min="3" max="3" width="21" hidden="0" customWidth="1"/>
    <x:col min="4" max="4" width="62" hidden="0" customWidth="1"/>
    <x:col min="5" max="5" width="54" hidden="0" customWidth="1"/>
  </x:cols>
  <x:sheetData>
    <x:row r="1" ht="34" customHeight="1">
      <x:c r="A1" s="4" t="str">
        <x:v>ПРОВЕРКА СИСТЕМЫ ПОСТОЯННОГО РАССЕЛЕНИЯ</x:v>
      </x:c>
      <x:c r="B1" s="4"/>
      <x:c r="C1" s="4"/>
      <x:c r="D1" s="4"/>
      <x:c r="E1" s="4"/>
    </x:row>
    <x:row r="2" ht="44" customHeight="1">
      <x:c r="A2" s="9" t="str">
        <x:v>Проверяется выбранный технический каркас и реакция правил на события. Это не утверждённое расселение конкретного заезда.</x:v>
      </x:c>
      <x:c r="B2" s="9"/>
      <x:c r="C2" s="9"/>
      <x:c r="D2" s="9"/>
      <x:c r="E2" s="9"/>
    </x:row>
    <x:row r="3" ht="34" customHeight="1">
      <x:c r="A3" s="21" t="str">
        <x:v>РАБОЧИЙ ПРОЕКТ: СТРОГИЙ ПОСЛЕДОВАТЕЛЬНЫЙ КАРКАС ВЫБРАН, НО КАРТА ЕЩЁ НЕ ЗАМОРОЖЕНА</x:v>
      </x:c>
      <x:c r="B3" s="22"/>
      <x:c r="C3" s="22"/>
      <x:c r="D3" s="22"/>
      <x:c r="E3" s="23"/>
    </x:row>
    <x:row r="4" ht="34" customHeight="1">
      <x:c r="A4" s="27" t="n">
        <x:v>47</x:v>
      </x:c>
      <x:c r="B4" s="27" t="n">
        <x:v>270</x:v>
      </x:c>
      <x:c r="C4" s="27" t="n">
        <x:f>COUNTIF(C12:C29,"Соблюдено")</x:f>
        <x:v>10</x:v>
      </x:c>
      <x:c r="D4" s="27" t="n">
        <x:f>COUNTIF(C12:C29,"Требует подтверждения")</x:f>
        <x:v>7</x:v>
      </x:c>
      <x:c r="E4" s="27" t="n">
        <x:f>COUNTIF(C12:C29,"Конфликт")</x:f>
        <x:v>1</x:v>
      </x:c>
    </x:row>
    <x:row r="5" ht="32" customHeight="1">
      <x:c r="A5" s="32" t="str">
        <x:v>комнат</x:v>
      </x:c>
      <x:c r="B5" s="32" t="str">
        <x:v>физических коек</x:v>
      </x:c>
      <x:c r="C5" s="32" t="str">
        <x:v>правил соблюдено</x:v>
      </x:c>
      <x:c r="D5" s="32" t="str">
        <x:v>требуют подтверждения</x:v>
      </x:c>
      <x:c r="E5" s="32" t="str">
        <x:v>реальный конфликт</x:v>
      </x:c>
    </x:row>
    <x:row r="7" ht="34" customHeight="1">
      <x:c r="A7" s="44" t="str">
        <x:f>IF(E4&gt;0,"ЕСТЬ КОНФЛИКТ — КАРТУ НЕЛЬЗЯ ЗАМОРАЖИВАТЬ",IF(D4&gt;0,"ТРЕБУЕТ ПОДТВЕРЖДЕНИЯ","МОЖНО УТВЕРЖДАТЬ"))</x:f>
        <x:v>ЕСТЬ КОНФЛИКТ — КАРТУ НЕЛЬЗЯ ЗАМОРАЖИВАТЬ</x:v>
      </x:c>
      <x:c r="B7" s="45"/>
      <x:c r="C7" s="45"/>
      <x:c r="D7" s="45"/>
      <x:c r="E7" s="46"/>
    </x:row>
    <x:row r="8" ht="26" customHeight="1">
      <x:c r="A8" s="50" t="str">
        <x:v>КАК ДОЛЖЕН РАБОТАТЬ ПРОЦЕСС ПОСЛЕ УТВЕРЖДЕНИЯ</x:v>
      </x:c>
      <x:c r="B8" s="50"/>
      <x:c r="C8" s="50"/>
      <x:c r="D8" s="50"/>
      <x:c r="E8" s="50"/>
    </x:row>
    <x:row r="9" ht="46" customHeight="1">
      <x:c r="A9" s="56" t="str">
        <x:v>Заместитель начальника участка закрепляет сотрудника → техника или должность автоматически определяет койку → Горный мастер/Диспетчер управляет оперативной работой и режимом комнаты → временная пересадка не меняет койку → делопроизводитель отражает только заезд и утверждённые исключения</x:v>
      </x:c>
      <x:c r="B9" s="56"/>
      <x:c r="C9" s="56"/>
      <x:c r="D9" s="56"/>
      <x:c r="E9" s="56"/>
    </x:row>
    <x:row r="10" ht="32" customHeight="1">
      <x:c r="A10" s="61" t="str">
        <x:v>Проверено программой: 57 модульных тестов; 30 классов событий; 900 упорядоченных пар событий; 1 000 комбинированных последовательностей; граничные значения ранних комнат и резервистов.</x:v>
      </x:c>
      <x:c r="B10" s="61"/>
      <x:c r="C10" s="61"/>
      <x:c r="D10" s="61"/>
      <x:c r="E10" s="61"/>
    </x:row>
    <x:row r="11" ht="32" customHeight="1">
      <x:c r="A11" s="66" t="str">
        <x:v>№</x:v>
      </x:c>
      <x:c r="B11" s="66" t="str">
        <x:v>Правило регламента</x:v>
      </x:c>
      <x:c r="C11" s="66" t="str">
        <x:v>Статус</x:v>
      </x:c>
      <x:c r="D11" s="66" t="str">
        <x:v>Что установлено проверкой</x:v>
      </x:c>
      <x:c r="E11" s="66" t="str">
        <x:v>Что делать дальше</x:v>
      </x:c>
    </x:row>
    <x:row r="12" ht="56" customHeight="1">
      <x:c r="A12" s="71" t="n">
        <x:v>1</x:v>
      </x:c>
      <x:c r="B12" s="70" t="str">
        <x:v>Использовать только существующие комнаты и койки</x:v>
      </x:c>
      <x:c r="C12" s="73" t="str">
        <x:v>Соблюдено</x:v>
      </x:c>
      <x:c r="D12" s="70" t="str">
        <x:v>В модели 47 комнат и 270 физических коек. Структурная проверка не нашла несуществующих комнат, лишних коек или двойных постоянных назначений.</x:v>
      </x:c>
      <x:c r="E12" s="70" t="str">
        <x:v>Сохранять этот перечень как границы жилфонда; менять его только после официального изменения выделенных комнат.</x:v>
      </x:c>
    </x:row>
    <x:row r="13" ht="56" customHeight="1">
      <x:c r="A13" s="71" t="n">
        <x:v>2</x:v>
      </x:c>
      <x:c r="B13" s="70" t="str">
        <x:v>Не путать номер бригады с номером месячной вахты</x:v>
      </x:c>
      <x:c r="C13" s="73" t="str">
        <x:v>Соблюдено</x:v>
      </x:c>
      <x:c r="D13" s="70" t="str">
        <x:v>В модели график №12 разделён так: бригады 1+2 — вахта Деушева, бригады 3+4 — вахта Косарева; для графика №11 применено соответствие 1 и 2. Две месячные вахты не складываются как одновременно проживающие.</x:v>
      </x:c>
      <x:c r="E13" s="70" t="str">
        <x:v>При наложении фамилий пользоваться вахтой и календарём, а не отдельным номером бригады.</x:v>
      </x:c>
    </x:row>
    <x:row r="14" ht="56" customHeight="1">
      <x:c r="A14" s="71" t="n">
        <x:v>3</x:v>
      </x:c>
      <x:c r="B14" s="70" t="str">
        <x:v>Временная работа на другой технике не меняет постоянную койку</x:v>
      </x:c>
      <x:c r="C14" s="73" t="str">
        <x:v>Соблюдено</x:v>
      </x:c>
      <x:c r="D14" s="70" t="str">
        <x:v>Поломка, выдача подменной машины, временное назначение на другую категорию и перемещение помощника проверены как отдельные события: постоянных переселений — 0.</x:v>
      </x:c>
      <x:c r="E14" s="70" t="str">
        <x:v>Оперативные назначения записывать отдельно; эталонную койку ими не переписывать.</x:v>
      </x:c>
    </x:row>
    <x:row r="15" ht="56" customHeight="1">
      <x:c r="A15" s="71" t="n">
        <x:v>4</x:v>
      </x:c>
      <x:c r="B15" s="70" t="str">
        <x:v>Ремонт, простой и вакансия не уничтожают место техники</x:v>
      </x:c>
      <x:c r="C15" s="73" t="str">
        <x:v>Соблюдено</x:v>
      </x:c>
      <x:c r="D15" s="70" t="str">
        <x:v>Сценарии длительного ремонта и возврата техники сохраняют анкер и обе койки экипажа; после возврата используются те же места.</x:v>
      </x:c>
      <x:c r="E15" s="70" t="str">
        <x:v>Освободившуюся на период койку учитывать только как временно доступную, не отдавая её другой постоянной позиции.</x:v>
      </x:c>
    </x:row>
    <x:row r="16" ht="56" customHeight="1">
      <x:c r="A16" s="71" t="n">
        <x:v>5</x:v>
      </x:c>
      <x:c r="B16" s="70" t="str">
        <x:v>Тяжёлую технику расселять последовательными тройками</x:v>
      </x:c>
      <x:c r="C16" s="73" t="str">
        <x:v>Соблюдено</x:v>
      </x:c>
      <x:c r="D16" s="70" t="str">
        <x:v>Каркас размещает №10–12 в первой комнате, №13–15 в следующей и далее по возрастанию до №61–63. №53 учтён именно как тягач-эвакуатор с экипажем, а не как самосвал.</x:v>
      </x:c>
      <x:c r="E16" s="70" t="str">
        <x:v>Не нарушать этот порядок при наложении фамилий и назначении ранних комнат.</x:v>
      </x:c>
    </x:row>
    <x:row r="17" ht="56" customHeight="1">
      <x:c r="A17" s="71" t="n">
        <x:v>6</x:v>
      </x:c>
      <x:c r="B17" s="70" t="str">
        <x:v>Правильно учитывать состав постоянной техники</x:v>
      </x:c>
      <x:c r="C17" s="73" t="str">
        <x:v>Соблюдено</x:v>
      </x:c>
      <x:c r="D17" s="70" t="str">
        <x:v>В техническом каркасе сохранены анкеры всех 8 карьерных экскаваторов. Передвижная столовая-донор без экипажа не получила койки; временные псевдонимы техники не создают дополнительные места.</x:v>
      </x:c>
      <x:c r="E17" s="70" t="str">
        <x:v>При изменении парка добавлять или удалять анкер только после подтверждённого постоянного изменения состава техники.</x:v>
      </x:c>
    </x:row>
    <x:row r="18" ht="56" customHeight="1">
      <x:c r="A18" s="71" t="n">
        <x:v>7</x:v>
      </x:c>
      <x:c r="B18" s="70" t="str">
        <x:v>Не занимать защищённые руководящие комнаты общим фондом</x:v>
      </x:c>
      <x:c r="C18" s="73" t="str">
        <x:v>Соблюдено</x:v>
      </x:c>
      <x:c r="D18" s="70" t="str">
        <x:v>КИС5-36 и КИС5-37 сохранены за руководящей зоной, КИС5-38 — за командировками высшего руководства; решатель исключает их из общего технического распределения.</x:v>
      </x:c>
      <x:c r="E18" s="70" t="str">
        <x:v>Оставить эти комнаты защищёнными при всех обычных перерасчётах.</x:v>
      </x:c>
    </x:row>
    <x:row r="19" ht="56" customHeight="1">
      <x:c r="A19" s="71" t="n">
        <x:v>8</x:v>
      </x:c>
      <x:c r="B19" s="70" t="str">
        <x:v>Три одновременно отдыхающих работника распределяются по блокам 2+1, а не 3+0</x:v>
      </x:c>
      <x:c r="C19" s="73" t="str">
        <x:v>Требует подтверждения</x:v>
      </x:c>
      <x:c r="D19" s="70" t="str">
        <x:v>Для комнат тяжёлой техники построены парные места А/Б и допустимый шаблон 2+1. Но фактические дневные и ночные назначения людей на дату заезда пока не подтверждены.</x:v>
      </x:c>
      <x:c r="E19" s="70" t="str">
        <x:v>После получения расстановки проверить каждую комнату поимённо: в любой работающей смене отдыхающие должны занимать блоки 2 и 1.</x:v>
      </x:c>
    </x:row>
    <x:row r="20" ht="56" customHeight="1">
      <x:c r="A20" s="71" t="n">
        <x:v>9</x:v>
      </x:c>
      <x:c r="B20" s="70" t="str">
        <x:v>Ранний режим назначается только целой комнате</x:v>
      </x:c>
      <x:c r="C20" s="73" t="str">
        <x:v>Требует подтверждения</x:v>
      </x:c>
      <x:c r="D20" s="70" t="str">
        <x:v>Проверены все количества от 0 до 18 ранних комнат и 36 переходов между соседними значениями: койки не меняются, неполная тройка блокируется. В исходных данных нет утверждённого перечня ранних комнат на конкретный период.</x:v>
      </x:c>
      <x:c r="E20" s="70" t="str">
        <x:v>Горному мастеру/Диспетчеру перед заездом отметить целые комнаты как ранние или стандартные; переход выполнять без сокращения отдыха работников.</x:v>
      </x:c>
    </x:row>
    <x:row r="21" ht="56" customHeight="1">
      <x:c r="A21" s="71" t="n">
        <x:v>10</x:v>
      </x:c>
      <x:c r="B21" s="70" t="str">
        <x:v>Продлёнщик занимает только место конкретного незаехавшего</x:v>
      </x:c>
      <x:c r="C21" s="73" t="str">
        <x:v>Соблюдено</x:v>
      </x:c>
      <x:c r="D21" s="70" t="str">
        <x:v>Сценарий «незаезд + продление на освободившуюся позицию» проходит без изменения домашней койки. Продление без подтверждённой вакансии автоматически блокируется.</x:v>
      </x:c>
      <x:c r="E21" s="70" t="str">
        <x:v>Для каждого продления указывать отсутствующего, его койку и срок временного занятия; если такой вакансии нет — сотрудник уезжает.</x:v>
      </x:c>
    </x:row>
    <x:row r="22" ht="56" customHeight="1">
      <x:c r="A22" s="71" t="n">
        <x:v>11</x:v>
      </x:c>
      <x:c r="B22" s="70" t="str">
        <x:v>Резервисты живут вместе, плановый пул — 5–6 человек</x:v>
      </x:c>
      <x:c r="C22" s="73" t="str">
        <x:v>Требует подтверждения</x:v>
      </x:c>
      <x:c r="D22" s="70" t="str">
        <x:v>Комната КИС6-45 вмещает 5–6 резервистов; размеры 5 и 6 проходят проверку, 7 даёт дефицит одного места. Для части резерва не заполнена фактическая дневная/ночная смена, а по одной месячной вахте в снимке найдено только 4 человека.</x:v>
      </x:c>
      <x:c r="E22" s="70" t="str">
        <x:v>Подтвердить фактические 5–6 фамилий каждой вахты и разложить их по сменам 3/2 либо 3/3.</x:v>
      </x:c>
    </x:row>
    <x:row r="23" ht="56" customHeight="1">
      <x:c r="A23" s="71" t="n">
        <x:v>12</x:v>
      </x:c>
      <x:c r="B23" s="70" t="str">
        <x:v>Группу водителей легкового транспорта не разделять</x:v>
      </x:c>
      <x:c r="C23" s="73" t="str">
        <x:v>Требует подтверждения</x:v>
      </x:c>
      <x:c r="D23" s="70" t="str">
        <x:v>Каркас сохраняет группу из 9 водителей в КИС6-44 на 6 физических койках и не меняет комнату при замене Geely/JAC. Для 4 человек, совместно использующих 2 койки, отсутствуют даты особых графиков, поэтому отсутствие пересечения ещё не доказано.</x:v>
      </x:c>
      <x:c r="E23" s="70" t="str">
        <x:v>Сохранить состав группы и подтвердить даты заезда/выезда четырёх работников особых графиков.</x:v>
      </x:c>
    </x:row>
    <x:row r="24" ht="56" customHeight="1">
      <x:c r="A24" s="71" t="n">
        <x:v>13</x:v>
      </x:c>
      <x:c r="B24" s="70" t="str">
        <x:v>Мужчины и женщины живут в разных комнатах</x:v>
      </x:c>
      <x:c r="C24" s="73" t="str">
        <x:v>Требует подтверждения</x:v>
      </x:c>
      <x:c r="D24" s="70" t="str">
        <x:v>По имеющемуся ориентировочному признаку смешанных комнат не найдено, однако официальное кадровое поле пола отсутствует у всех 479 сотрудников. Предположение по имени не является доказательством.</x:v>
      </x:c>
      <x:c r="E24" s="70" t="str">
        <x:v>Перед утверждением один раз сверить пол по кадровому списку и повторить автоматическую проверку всех комнат.</x:v>
      </x:c>
    </x:row>
    <x:row r="25" ht="56" customHeight="1">
      <x:c r="A25" s="71" t="n">
        <x:v>14</x:v>
      </x:c>
      <x:c r="B25" s="70" t="str">
        <x:v>Подрядчики живут вместе, отдельно от сотрудников компании и по остаточному принципу</x:v>
      </x:c>
      <x:c r="C25" s="73" t="str">
        <x:v>Конфликт</x:v>
      </x:c>
      <x:c r="D25" s="70" t="str">
        <x:v>В текущем пиковом расчёте 268 работников компании и 3 подрядчика требуют 271 место при наличии 270. Свободны лишь 2 разрозненные койки, а полностью отдельная комната подрядчиков не гарантирована.</x:v>
      </x:c>
      <x:c r="E25" s="70" t="str">
        <x:v>До заморозки выделить отдельную совместимую комнату за счёт подтверждённых непересекающихся отсутствий либо получить решение об изменении жилфонда/состава заезда. Смешанное размещение не создавать.</x:v>
      </x:c>
    </x:row>
    <x:row r="26" ht="56" customHeight="1">
      <x:c r="A26" s="71" t="n">
        <x:v>15</x:v>
      </x:c>
      <x:c r="B26" s="70" t="str">
        <x:v>ОТ/ПБ/БДД не селить с непосредственно контролируемыми работниками; ИТР по возможности собирать рядом</x:v>
      </x:c>
      <x:c r="C26" s="73" t="str">
        <x:v>Требует подтверждения</x:v>
      </x:c>
      <x:c r="D26" s="70" t="str">
        <x:v>Для рассматриваемой комнаты КИС5-28 определены 8 жильцов, но нет подтверждённого перечня пар «кто кого непосредственно контролирует». Поэтому отсутствие бытового конфликта пока не доказано.</x:v>
      </x:c>
      <x:c r="E26" s="70" t="str">
        <x:v>Ответственному один раз отметить несовместимые пары; затем разместить ОТ/ПБ/БДД с нейтральным ИТР и проверить близость остальных ИТР к руководящей зоне.</x:v>
      </x:c>
    </x:row>
    <x:row r="27" ht="56" customHeight="1">
      <x:c r="A27" s="71" t="n">
        <x:v>16</x:v>
      </x:c>
      <x:c r="B27" s="70" t="str">
        <x:v>Крупнейшие группы размещаются первыми, последовательно и в понятном порядке</x:v>
      </x:c>
      <x:c r="C27" s="73" t="str">
        <x:v>Соблюдено</x:v>
      </x:c>
      <x:c r="D27" s="70" t="str">
        <x:v>Рабочим вариантом выбран строгий порядок по численности с непрерывными диапазонами комнат и возрастанием номеров техники. Для сравниваемой технической зоны отклонений от порядка групп — 0. Смешение разных типов техники само по себе не признано бытовым дискомфортом.</x:v>
      </x:c>
      <x:c r="E27" s="70" t="str">
        <x:v>Сохранять строгий порядок как основной; смешанные технические комнаты уменьшать только после соблюдения более важных правил.</x:v>
      </x:c>
    </x:row>
    <x:row r="28" ht="56" customHeight="1">
      <x:c r="A28" s="71" t="n">
        <x:v>17</x:v>
      </x:c>
      <x:c r="B28" s="70" t="str">
        <x:v>Дискомфорт считать по режиму отдыха и реальной бытовой несовместимости, а не по названию техники</x:v>
      </x:c>
      <x:c r="C28" s="73" t="str">
        <x:v>Соблюдено</x:v>
      </x:c>
      <x:c r="D28" s="70" t="str">
        <x:v>Модуль выбора исправлен: смешение типов техники имеет отметку «справочный показатель планировки, не бытовой дискомфорт», не требует дополнительных данных и не блокирует выбор. Строгий порядок групп победил автоматически.</x:v>
      </x:c>
      <x:c r="E28" s="70" t="str">
        <x:v>Считать дискомфортом только несовместимый режим отдыха, нарушение 2+1, пол, календарное пересечение и подтверждённый бытовой конфликт.</x:v>
      </x:c>
    </x:row>
    <x:row r="29" ht="56" customHeight="1">
      <x:c r="A29" s="71" t="n">
        <x:v>18</x:v>
      </x:c>
      <x:c r="B29" s="70" t="str">
        <x:v>Замораживать только полностью проверенную поимённую карту</x:v>
      </x:c>
      <x:c r="C29" s="73" t="str">
        <x:v>Требует подтверждения</x:v>
      </x:c>
      <x:c r="D29" s="70" t="str">
        <x:v>Каркас прошёл 30 классов событий, все 900 упорядоченных пары, 1 000 комбинированных последовательностей и граничные проверки без внутренних сбоев. Строгий порядок выбран автоматически для 38 анкеров нетяжёлой техники, но связи 118 работников с анкерами, 7 помощников, особые календари, режимы комнат, пол и контрольные конфликты требуют проверки; весь поимённый фонд 270 коек ещё не доказан.</x:v>
      </x:c>
      <x:c r="E29" s="70" t="str">
        <x:v>Наложить подтверждённые фамилии и календари, устранить дефицит подрядчиков и только после повторной проверки всех 270 мест присвоить карте статус «Эталон».</x:v>
      </x:c>
    </x:row>
  </x:sheetData>
  <x:mergeCells>
    <x:mergeCell ref="A1:E1"/>
    <x:mergeCell ref="A2:E2"/>
    <x:mergeCell ref="A3:E3"/>
    <x:mergeCell ref="A7:E7"/>
    <x:mergeCell ref="A8:E8"/>
    <x:mergeCell ref="A9:E9"/>
    <x:mergeCell ref="A10:E10"/>
  </x:mergeCells>
  <x:conditionalFormatting sqref="C12:C29">
    <x:cfRule type="containsText" dxfId="0" priority="1" operator="containsText" text="Соблюдено"/>
    <x:cfRule type="containsText" dxfId="1" priority="2" operator="containsText" text="Требует подтверждения"/>
    <x:cfRule type="containsText" dxfId="2" priority="3" operator="containsText" text="Конфликт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  <x:selection pane="topRight" activeCell="D1" sqref="D1"/>
      <x:selection pane="bottomLeft" activeCell="A5" sqref="A5"/>
      <x:selection pane="bottomRight" activeCell="D5" sqref="D5"/>
    </x:sheetView>
  </x:sheetViews>
  <x:sheetFormatPr defaultRowHeight="15"/>
  <x:cols>
    <x:col min="1" max="1" width="11" hidden="0" customWidth="1"/>
    <x:col min="2" max="2" width="9" hidden="0" customWidth="1"/>
    <x:col min="3" max="3" width="37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46" hidden="0" customWidth="1"/>
  </x:cols>
  <x:sheetData>
    <x:row r="1" ht="34" customHeight="1">
      <x:c r="A1" s="4" t="str">
        <x:v>ЭТАЛОН ПОСТОЯННЫХ МЕСТ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4" customHeight="1">
      <x:c r="A2" s="9" t="str">
        <x:v>Без фамилий: одна строка — одна комната; одна ячейка — одна физическая койка. Это единая карта «техника/должность → место».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30" customHeight="1">
      <x:c r="A3" s="77" t="str">
        <x:v>Тяжёлая техника идёт №10–63 по порядку комнат. №53 — тягач-эвакуатор. Блоки А и Б не являются дневным и ночным блоками.</x:v>
      </x:c>
      <x:c r="B3" s="77"/>
      <x:c r="C3" s="77"/>
      <x:c r="D3" s="77"/>
      <x:c r="E3" s="77"/>
      <x:c r="F3" s="77"/>
      <x:c r="G3" s="77"/>
      <x:c r="H3" s="77"/>
      <x:c r="I3" s="77"/>
      <x:c r="J3" s="77"/>
    </x:row>
    <x:row r="4" ht="34" customHeight="1">
      <x:c r="A4" s="66" t="str">
        <x:v>Общежитие</x:v>
      </x:c>
      <x:c r="B4" s="66" t="str">
        <x:v>Комната</x:v>
      </x:c>
      <x:c r="C4" s="66" t="str">
        <x:v>Назначение комнаты</x:v>
      </x:c>
      <x:c r="D4" s="66" t="str">
        <x:v>А1</x:v>
      </x:c>
      <x:c r="E4" s="66" t="str">
        <x:v>А2</x:v>
      </x:c>
      <x:c r="F4" s="66" t="str">
        <x:v>А3</x:v>
      </x:c>
      <x:c r="G4" s="66" t="str">
        <x:v>Б1</x:v>
      </x:c>
      <x:c r="H4" s="66" t="str">
        <x:v>Б2</x:v>
      </x:c>
      <x:c r="I4" s="66" t="str">
        <x:v>Б3</x:v>
      </x:c>
      <x:c r="J4" s="66" t="str">
        <x:v>Правило / примечание</x:v>
      </x:c>
    </x:row>
    <x:row r="5" ht="55" customHeight="1">
      <x:c r="A5" s="82" t="str">
        <x:v>КИС 5</x:v>
      </x:c>
      <x:c r="B5" s="82" t="str">
        <x:v>01</x:v>
      </x:c>
      <x:c r="C5" s="81" t="str">
        <x:v>Тяжёлая техника: БелАЗ №10, БелАЗ №11, БелАЗ №12</x:v>
      </x:c>
      <x:c r="D5" s="82" t="str">
        <x:v>БелАЗ №10</x:v>
      </x:c>
      <x:c r="E5" s="82" t="str">
        <x:v>БелАЗ №11</x:v>
      </x:c>
      <x:c r="F5" s="82" t="str">
        <x:v>БелАЗ №12</x:v>
      </x:c>
      <x:c r="G5" s="82" t="str">
        <x:v>БелАЗ №10</x:v>
      </x:c>
      <x:c r="H5" s="82" t="str">
        <x:v>БелАЗ №11</x:v>
      </x:c>
      <x:c r="I5" s="82" t="str">
        <x:v>БелАЗ №12</x:v>
      </x:c>
      <x:c r="J5" s="81" t="str">
        <x:v>Экипажи одной техники: Аn+Бn; отдыхающие распределяются 2+1</x:v>
      </x:c>
    </x:row>
    <x:row r="6" ht="55" customHeight="1">
      <x:c r="A6" s="82" t="str">
        <x:v>КИС 5</x:v>
      </x:c>
      <x:c r="B6" s="82" t="str">
        <x:v>02</x:v>
      </x:c>
      <x:c r="C6" s="81" t="str">
        <x:v>Тяжёлая техника: БелАЗ №13, БелАЗ №14, БелАЗ №15</x:v>
      </x:c>
      <x:c r="D6" s="82" t="str">
        <x:v>БелАЗ №13</x:v>
      </x:c>
      <x:c r="E6" s="82" t="str">
        <x:v>БелАЗ №14</x:v>
      </x:c>
      <x:c r="F6" s="82" t="str">
        <x:v>БелАЗ №15</x:v>
      </x:c>
      <x:c r="G6" s="82" t="str">
        <x:v>БелАЗ №13</x:v>
      </x:c>
      <x:c r="H6" s="82" t="str">
        <x:v>БелАЗ №14</x:v>
      </x:c>
      <x:c r="I6" s="82" t="str">
        <x:v>БелАЗ №15</x:v>
      </x:c>
      <x:c r="J6" s="81" t="str">
        <x:v>Экипажи одной техники: Аn+Бn; отдыхающие распределяются 2+1</x:v>
      </x:c>
    </x:row>
    <x:row r="7" ht="55" customHeight="1">
      <x:c r="A7" s="82" t="str">
        <x:v>КИС 5</x:v>
      </x:c>
      <x:c r="B7" s="82" t="str">
        <x:v>03</x:v>
      </x:c>
      <x:c r="C7" s="81" t="str">
        <x:v>Тяжёлая техника: БелАЗ №16, БелАЗ №17, БелАЗ №18</x:v>
      </x:c>
      <x:c r="D7" s="82" t="str">
        <x:v>БелАЗ №16</x:v>
      </x:c>
      <x:c r="E7" s="82" t="str">
        <x:v>БелАЗ №17</x:v>
      </x:c>
      <x:c r="F7" s="82" t="str">
        <x:v>БелАЗ №18</x:v>
      </x:c>
      <x:c r="G7" s="82" t="str">
        <x:v>БелАЗ №16</x:v>
      </x:c>
      <x:c r="H7" s="82" t="str">
        <x:v>БелАЗ №17</x:v>
      </x:c>
      <x:c r="I7" s="82" t="str">
        <x:v>БелАЗ №18</x:v>
      </x:c>
      <x:c r="J7" s="81" t="str">
        <x:v>Экипажи одной техники: Аn+Бn; отдыхающие распределяются 2+1</x:v>
      </x:c>
    </x:row>
    <x:row r="8" ht="55" customHeight="1">
      <x:c r="A8" s="82" t="str">
        <x:v>КИС 5</x:v>
      </x:c>
      <x:c r="B8" s="82" t="str">
        <x:v>04</x:v>
      </x:c>
      <x:c r="C8" s="81" t="str">
        <x:v>Тяжёлая техника: БелАЗ №19, БелАЗ №20, БелАЗ №21</x:v>
      </x:c>
      <x:c r="D8" s="82" t="str">
        <x:v>БелАЗ №19</x:v>
      </x:c>
      <x:c r="E8" s="82" t="str">
        <x:v>БелАЗ №20</x:v>
      </x:c>
      <x:c r="F8" s="82" t="str">
        <x:v>БелАЗ №21</x:v>
      </x:c>
      <x:c r="G8" s="82" t="str">
        <x:v>БелАЗ №19</x:v>
      </x:c>
      <x:c r="H8" s="82" t="str">
        <x:v>БелАЗ №20</x:v>
      </x:c>
      <x:c r="I8" s="82" t="str">
        <x:v>БелАЗ №21</x:v>
      </x:c>
      <x:c r="J8" s="81" t="str">
        <x:v>Экипажи одной техники: Аn+Бn; отдыхающие распределяются 2+1</x:v>
      </x:c>
    </x:row>
    <x:row r="9" ht="55" customHeight="1">
      <x:c r="A9" s="82" t="str">
        <x:v>КИС 5</x:v>
      </x:c>
      <x:c r="B9" s="82" t="str">
        <x:v>05</x:v>
      </x:c>
      <x:c r="C9" s="81" t="str">
        <x:v>Тяжёлая техника: БелАЗ №22, БелАЗ №23, БелАЗ №24</x:v>
      </x:c>
      <x:c r="D9" s="82" t="str">
        <x:v>БелАЗ №22</x:v>
      </x:c>
      <x:c r="E9" s="82" t="str">
        <x:v>БелАЗ №23</x:v>
      </x:c>
      <x:c r="F9" s="82" t="str">
        <x:v>БелАЗ №24</x:v>
      </x:c>
      <x:c r="G9" s="82" t="str">
        <x:v>БелАЗ №22</x:v>
      </x:c>
      <x:c r="H9" s="82" t="str">
        <x:v>БелАЗ №23</x:v>
      </x:c>
      <x:c r="I9" s="82" t="str">
        <x:v>БелАЗ №24</x:v>
      </x:c>
      <x:c r="J9" s="81" t="str">
        <x:v>Экипажи одной техники: Аn+Бn; отдыхающие распределяются 2+1</x:v>
      </x:c>
    </x:row>
    <x:row r="10" ht="55" customHeight="1">
      <x:c r="A10" s="82" t="str">
        <x:v>КИС 5</x:v>
      </x:c>
      <x:c r="B10" s="82" t="str">
        <x:v>06</x:v>
      </x:c>
      <x:c r="C10" s="81" t="str">
        <x:v>Тяжёлая техника: БелАЗ №25, БелАЗ №26, БелАЗ №27</x:v>
      </x:c>
      <x:c r="D10" s="82" t="str">
        <x:v>БелАЗ №25</x:v>
      </x:c>
      <x:c r="E10" s="82" t="str">
        <x:v>БелАЗ №26</x:v>
      </x:c>
      <x:c r="F10" s="82" t="str">
        <x:v>БелАЗ №27</x:v>
      </x:c>
      <x:c r="G10" s="82" t="str">
        <x:v>БелАЗ №25</x:v>
      </x:c>
      <x:c r="H10" s="82" t="str">
        <x:v>БелАЗ №26</x:v>
      </x:c>
      <x:c r="I10" s="82" t="str">
        <x:v>БелАЗ №27</x:v>
      </x:c>
      <x:c r="J10" s="81" t="str">
        <x:v>Экипажи одной техники: Аn+Бn; отдыхающие распределяются 2+1</x:v>
      </x:c>
    </x:row>
    <x:row r="11" ht="55" customHeight="1">
      <x:c r="A11" s="82" t="str">
        <x:v>КИС 5</x:v>
      </x:c>
      <x:c r="B11" s="82" t="str">
        <x:v>07</x:v>
      </x:c>
      <x:c r="C11" s="81" t="str">
        <x:v>Тяжёлая техника: БелАЗ №28, БелАЗ №29, БелАЗ №30</x:v>
      </x:c>
      <x:c r="D11" s="82" t="str">
        <x:v>БелАЗ №28</x:v>
      </x:c>
      <x:c r="E11" s="82" t="str">
        <x:v>БелАЗ №29</x:v>
      </x:c>
      <x:c r="F11" s="82" t="str">
        <x:v>БелАЗ №30</x:v>
      </x:c>
      <x:c r="G11" s="82" t="str">
        <x:v>БелАЗ №28</x:v>
      </x:c>
      <x:c r="H11" s="82" t="str">
        <x:v>БелАЗ №29</x:v>
      </x:c>
      <x:c r="I11" s="82" t="str">
        <x:v>БелАЗ №30</x:v>
      </x:c>
      <x:c r="J11" s="81" t="str">
        <x:v>Экипажи одной техники: Аn+Бn; отдыхающие распределяются 2+1</x:v>
      </x:c>
    </x:row>
    <x:row r="12" ht="55" customHeight="1">
      <x:c r="A12" s="82" t="str">
        <x:v>КИС 5</x:v>
      </x:c>
      <x:c r="B12" s="82" t="str">
        <x:v>08</x:v>
      </x:c>
      <x:c r="C12" s="81" t="str">
        <x:v>Тяжёлая техника: БелАЗ №31, БелАЗ №32, БелАЗ №33</x:v>
      </x:c>
      <x:c r="D12" s="82" t="str">
        <x:v>БелАЗ №31</x:v>
      </x:c>
      <x:c r="E12" s="82" t="str">
        <x:v>БелАЗ №32</x:v>
      </x:c>
      <x:c r="F12" s="82" t="str">
        <x:v>БелАЗ №33</x:v>
      </x:c>
      <x:c r="G12" s="82" t="str">
        <x:v>БелАЗ №31</x:v>
      </x:c>
      <x:c r="H12" s="82" t="str">
        <x:v>БелАЗ №32</x:v>
      </x:c>
      <x:c r="I12" s="82" t="str">
        <x:v>БелАЗ №33</x:v>
      </x:c>
      <x:c r="J12" s="81" t="str">
        <x:v>Экипажи одной техники: Аn+Бn; отдыхающие распределяются 2+1</x:v>
      </x:c>
    </x:row>
    <x:row r="13" ht="55" customHeight="1">
      <x:c r="A13" s="82" t="str">
        <x:v>КИС 5</x:v>
      </x:c>
      <x:c r="B13" s="82" t="str">
        <x:v>09</x:v>
      </x:c>
      <x:c r="C13" s="81" t="str">
        <x:v>Тяжёлая техника: БелАЗ №34, БелАЗ №35, БелАЗ №36</x:v>
      </x:c>
      <x:c r="D13" s="82" t="str">
        <x:v>БелАЗ №34</x:v>
      </x:c>
      <x:c r="E13" s="82" t="str">
        <x:v>БелАЗ №35</x:v>
      </x:c>
      <x:c r="F13" s="82" t="str">
        <x:v>БелАЗ №36</x:v>
      </x:c>
      <x:c r="G13" s="82" t="str">
        <x:v>БелАЗ №34</x:v>
      </x:c>
      <x:c r="H13" s="82" t="str">
        <x:v>БелАЗ №35</x:v>
      </x:c>
      <x:c r="I13" s="82" t="str">
        <x:v>БелАЗ №36</x:v>
      </x:c>
      <x:c r="J13" s="81" t="str">
        <x:v>Экипажи одной техники: Аn+Бn; отдыхающие распределяются 2+1</x:v>
      </x:c>
    </x:row>
    <x:row r="14" ht="55" customHeight="1">
      <x:c r="A14" s="82" t="str">
        <x:v>КИС 5</x:v>
      </x:c>
      <x:c r="B14" s="82" t="str">
        <x:v>10</x:v>
      </x:c>
      <x:c r="C14" s="81" t="str">
        <x:v>Тяжёлая техника: БелАЗ №37, БелАЗ №38, БелАЗ №39</x:v>
      </x:c>
      <x:c r="D14" s="82" t="str">
        <x:v>БелАЗ №37</x:v>
      </x:c>
      <x:c r="E14" s="82" t="str">
        <x:v>БелАЗ №38</x:v>
      </x:c>
      <x:c r="F14" s="82" t="str">
        <x:v>БелАЗ №39</x:v>
      </x:c>
      <x:c r="G14" s="82" t="str">
        <x:v>БелАЗ №37</x:v>
      </x:c>
      <x:c r="H14" s="82" t="str">
        <x:v>БелАЗ №38</x:v>
      </x:c>
      <x:c r="I14" s="82" t="str">
        <x:v>БелАЗ №39</x:v>
      </x:c>
      <x:c r="J14" s="81" t="str">
        <x:v>Экипажи одной техники: Аn+Бn; отдыхающие распределяются 2+1</x:v>
      </x:c>
    </x:row>
    <x:row r="15" ht="55" customHeight="1">
      <x:c r="A15" s="82" t="str">
        <x:v>КИС 5</x:v>
      </x:c>
      <x:c r="B15" s="82" t="str">
        <x:v>11</x:v>
      </x:c>
      <x:c r="C15" s="81" t="str">
        <x:v>Тяжёлая техника: БелАЗ №40, БелАЗ №41, БелАЗ №42</x:v>
      </x:c>
      <x:c r="D15" s="82" t="str">
        <x:v>БелАЗ №40</x:v>
      </x:c>
      <x:c r="E15" s="82" t="str">
        <x:v>БелАЗ №41</x:v>
      </x:c>
      <x:c r="F15" s="82" t="str">
        <x:v>БелАЗ №42</x:v>
      </x:c>
      <x:c r="G15" s="82" t="str">
        <x:v>БелАЗ №40</x:v>
      </x:c>
      <x:c r="H15" s="82" t="str">
        <x:v>БелАЗ №41</x:v>
      </x:c>
      <x:c r="I15" s="82" t="str">
        <x:v>БелАЗ №42</x:v>
      </x:c>
      <x:c r="J15" s="81" t="str">
        <x:v>Экипажи одной техники: Аn+Бn; отдыхающие распределяются 2+1</x:v>
      </x:c>
    </x:row>
    <x:row r="16" ht="55" customHeight="1">
      <x:c r="A16" s="82" t="str">
        <x:v>КИС 5</x:v>
      </x:c>
      <x:c r="B16" s="82" t="str">
        <x:v>12</x:v>
      </x:c>
      <x:c r="C16" s="81" t="str">
        <x:v>Тяжёлая техника: БелАЗ №43, БелАЗ №44, БелАЗ №45</x:v>
      </x:c>
      <x:c r="D16" s="82" t="str">
        <x:v>БелАЗ №43</x:v>
      </x:c>
      <x:c r="E16" s="82" t="str">
        <x:v>БелАЗ №44</x:v>
      </x:c>
      <x:c r="F16" s="82" t="str">
        <x:v>БелАЗ №45</x:v>
      </x:c>
      <x:c r="G16" s="82" t="str">
        <x:v>БелАЗ №43</x:v>
      </x:c>
      <x:c r="H16" s="82" t="str">
        <x:v>БелАЗ №44</x:v>
      </x:c>
      <x:c r="I16" s="82" t="str">
        <x:v>БелАЗ №45</x:v>
      </x:c>
      <x:c r="J16" s="81" t="str">
        <x:v>Экипажи одной техники: Аn+Бn; отдыхающие распределяются 2+1</x:v>
      </x:c>
    </x:row>
    <x:row r="17" ht="55" customHeight="1">
      <x:c r="A17" s="82" t="str">
        <x:v>КИС 5</x:v>
      </x:c>
      <x:c r="B17" s="82" t="str">
        <x:v>13</x:v>
      </x:c>
      <x:c r="C17" s="81" t="str">
        <x:v>Тяжёлая техника: БелАЗ №46, БелАЗ №47, БелАЗ №48</x:v>
      </x:c>
      <x:c r="D17" s="82" t="str">
        <x:v>БелАЗ №46</x:v>
      </x:c>
      <x:c r="E17" s="82" t="str">
        <x:v>БелАЗ №47</x:v>
      </x:c>
      <x:c r="F17" s="82" t="str">
        <x:v>БелАЗ №48</x:v>
      </x:c>
      <x:c r="G17" s="82" t="str">
        <x:v>БелАЗ №46</x:v>
      </x:c>
      <x:c r="H17" s="82" t="str">
        <x:v>БелАЗ №47</x:v>
      </x:c>
      <x:c r="I17" s="82" t="str">
        <x:v>БелАЗ №48</x:v>
      </x:c>
      <x:c r="J17" s="81" t="str">
        <x:v>Экипажи одной техники: Аn+Бn; отдыхающие распределяются 2+1</x:v>
      </x:c>
    </x:row>
    <x:row r="18" ht="55" customHeight="1">
      <x:c r="A18" s="82" t="str">
        <x:v>КИС 5</x:v>
      </x:c>
      <x:c r="B18" s="82" t="str">
        <x:v>14</x:v>
      </x:c>
      <x:c r="C18" s="81" t="str">
        <x:v>Тяжёлая техника: БелАЗ №49, БелАЗ №50, БелАЗ №51</x:v>
      </x:c>
      <x:c r="D18" s="82" t="str">
        <x:v>БелАЗ №49</x:v>
      </x:c>
      <x:c r="E18" s="82" t="str">
        <x:v>БелАЗ №50</x:v>
      </x:c>
      <x:c r="F18" s="82" t="str">
        <x:v>БелАЗ №51</x:v>
      </x:c>
      <x:c r="G18" s="82" t="str">
        <x:v>БелАЗ №49</x:v>
      </x:c>
      <x:c r="H18" s="82" t="str">
        <x:v>БелАЗ №50</x:v>
      </x:c>
      <x:c r="I18" s="82" t="str">
        <x:v>БелАЗ №51</x:v>
      </x:c>
      <x:c r="J18" s="81" t="str">
        <x:v>Экипажи одной техники: Аn+Бn; отдыхающие распределяются 2+1</x:v>
      </x:c>
    </x:row>
    <x:row r="19" ht="55" customHeight="1">
      <x:c r="A19" s="82" t="str">
        <x:v>КИС 5</x:v>
      </x:c>
      <x:c r="B19" s="82" t="str">
        <x:v>15</x:v>
      </x:c>
      <x:c r="C19" s="81" t="str">
        <x:v>Тяжёлая техника: БелАЗ №52, Тягач-эвакуатор №53, NHL №54</x:v>
      </x:c>
      <x:c r="D19" s="82" t="str">
        <x:v>БелАЗ №52</x:v>
      </x:c>
      <x:c r="E19" s="82" t="str">
        <x:v>Тягач-эвакуатор №53</x:v>
      </x:c>
      <x:c r="F19" s="82" t="str">
        <x:v>NHL №54</x:v>
      </x:c>
      <x:c r="G19" s="82" t="str">
        <x:v>БелАЗ №52</x:v>
      </x:c>
      <x:c r="H19" s="82" t="str">
        <x:v>Тягач-эвакуатор №53</x:v>
      </x:c>
      <x:c r="I19" s="82" t="str">
        <x:v>NHL №54</x:v>
      </x:c>
      <x:c r="J19" s="81" t="str">
        <x:v>Экипажи одной техники: Аn+Бn; отдыхающие распределяются 2+1</x:v>
      </x:c>
    </x:row>
    <x:row r="20" ht="55" customHeight="1">
      <x:c r="A20" s="82" t="str">
        <x:v>КИС 5</x:v>
      </x:c>
      <x:c r="B20" s="82" t="str">
        <x:v>16</x:v>
      </x:c>
      <x:c r="C20" s="81" t="str">
        <x:v>Тяжёлая техника: NHL №55, NHL №56, NHL №57</x:v>
      </x:c>
      <x:c r="D20" s="82" t="str">
        <x:v>NHL №55</x:v>
      </x:c>
      <x:c r="E20" s="82" t="str">
        <x:v>NHL №56</x:v>
      </x:c>
      <x:c r="F20" s="82" t="str">
        <x:v>NHL №57</x:v>
      </x:c>
      <x:c r="G20" s="82" t="str">
        <x:v>NHL №55</x:v>
      </x:c>
      <x:c r="H20" s="82" t="str">
        <x:v>NHL №56</x:v>
      </x:c>
      <x:c r="I20" s="82" t="str">
        <x:v>NHL №57</x:v>
      </x:c>
      <x:c r="J20" s="81" t="str">
        <x:v>Экипажи одной техники: Аn+Бn; отдыхающие распределяются 2+1</x:v>
      </x:c>
    </x:row>
    <x:row r="21" ht="55" customHeight="1">
      <x:c r="A21" s="82" t="str">
        <x:v>КИС 5</x:v>
      </x:c>
      <x:c r="B21" s="82" t="str">
        <x:v>17</x:v>
      </x:c>
      <x:c r="C21" s="81" t="str">
        <x:v>Тяжёлая техника: NHL №58, NHL №59, NHL №60</x:v>
      </x:c>
      <x:c r="D21" s="82" t="str">
        <x:v>NHL №58</x:v>
      </x:c>
      <x:c r="E21" s="82" t="str">
        <x:v>NHL №59</x:v>
      </x:c>
      <x:c r="F21" s="82" t="str">
        <x:v>NHL №60</x:v>
      </x:c>
      <x:c r="G21" s="82" t="str">
        <x:v>NHL №58</x:v>
      </x:c>
      <x:c r="H21" s="82" t="str">
        <x:v>NHL №59</x:v>
      </x:c>
      <x:c r="I21" s="82" t="str">
        <x:v>NHL №60</x:v>
      </x:c>
      <x:c r="J21" s="81" t="str">
        <x:v>Экипажи одной техники: Аn+Бn; отдыхающие распределяются 2+1</x:v>
      </x:c>
    </x:row>
    <x:row r="22" ht="55" customHeight="1">
      <x:c r="A22" s="82" t="str">
        <x:v>КИС 5</x:v>
      </x:c>
      <x:c r="B22" s="82" t="str">
        <x:v>19</x:v>
      </x:c>
      <x:c r="C22" s="81" t="str">
        <x:v>Тяжёлая техника: NHL №61, NHL №62, NHL №63</x:v>
      </x:c>
      <x:c r="D22" s="82" t="str">
        <x:v>NHL №61</x:v>
      </x:c>
      <x:c r="E22" s="82" t="str">
        <x:v>NHL №62</x:v>
      </x:c>
      <x:c r="F22" s="82" t="str">
        <x:v>NHL №63</x:v>
      </x:c>
      <x:c r="G22" s="82" t="str">
        <x:v>NHL №61</x:v>
      </x:c>
      <x:c r="H22" s="82" t="str">
        <x:v>NHL №62</x:v>
      </x:c>
      <x:c r="I22" s="82" t="str">
        <x:v>NHL №63</x:v>
      </x:c>
      <x:c r="J22" s="81" t="str">
        <x:v>Экипажи одной техники: Аn+Бn; отдыхающие распределяются 2+1</x:v>
      </x:c>
    </x:row>
    <x:row r="23" ht="55" customHeight="1">
      <x:c r="A23" s="82" t="str">
        <x:v>КИС 5</x:v>
      </x:c>
      <x:c r="B23" s="82" t="str">
        <x:v>20</x:v>
      </x:c>
      <x:c r="C23" s="81" t="str">
        <x:v>Ремонтные рабочие — группа 2</x:v>
      </x:c>
      <x:c r="D23" s="82" t="str">
        <x:v>Ремонтные рабочие — группа 2</x:v>
      </x:c>
      <x:c r="E23" s="82" t="str">
        <x:v>Ремонтные рабочие — группа 2</x:v>
      </x:c>
      <x:c r="F23" s="82" t="str">
        <x:v>Ремонтные рабочие — группа 2</x:v>
      </x:c>
      <x:c r="G23" s="82" t="str">
        <x:v>Ремонтные рабочие — группа 2</x:v>
      </x:c>
      <x:c r="H23" s="82" t="str">
        <x:v>Ремонтные рабочие — группа 2</x:v>
      </x:c>
      <x:c r="I23" s="82" t="str">
        <x:v>Ремонтные рабочие — группа 2</x:v>
      </x:c>
      <x:c r="J23" s="81" t="str">
        <x:v>По графикам проживающих</x:v>
      </x:c>
    </x:row>
    <x:row r="24" ht="55" customHeight="1">
      <x:c r="A24" s="82" t="str">
        <x:v>КИС 5</x:v>
      </x:c>
      <x:c r="B24" s="82" t="str">
        <x:v>21</x:v>
      </x:c>
      <x:c r="C24" s="81" t="str">
        <x:v>Ремонтные рабочие — группа 1</x:v>
      </x:c>
      <x:c r="D24" s="82" t="str">
        <x:v>Ремонтные рабочие — группа 1</x:v>
      </x:c>
      <x:c r="E24" s="82" t="str">
        <x:v>Ремонтные рабочие — группа 1</x:v>
      </x:c>
      <x:c r="F24" s="82" t="str">
        <x:v>Ремонтные рабочие — группа 1</x:v>
      </x:c>
      <x:c r="G24" s="82" t="str">
        <x:v>Ремонтные рабочие — группа 1</x:v>
      </x:c>
      <x:c r="H24" s="82" t="str">
        <x:v>Ремонтные рабочие — группа 1</x:v>
      </x:c>
      <x:c r="I24" s="82" t="str">
        <x:v>Ремонтные рабочие — группа 1</x:v>
      </x:c>
      <x:c r="J24" s="81" t="str">
        <x:v>По графикам проживающих</x:v>
      </x:c>
    </x:row>
    <x:row r="25" ht="55" customHeight="1">
      <x:c r="A25" s="82" t="str">
        <x:v>КИС 5</x:v>
      </x:c>
      <x:c r="B25" s="82" t="str">
        <x:v>22</x:v>
      </x:c>
      <x:c r="C25" s="81" t="str">
        <x:v>Особые графики и совместимые должности</x:v>
      </x:c>
      <x:c r="D25" s="82" t="str">
        <x:v>Особый график / совместимая должность</x:v>
      </x:c>
      <x:c r="E25" s="82" t="str">
        <x:v>Особый график / совместимая должность</x:v>
      </x:c>
      <x:c r="F25" s="82" t="str">
        <x:v>Особый график / совместимая должность</x:v>
      </x:c>
      <x:c r="G25" s="82" t="str">
        <x:v>Особый график / совместимая должность</x:v>
      </x:c>
      <x:c r="H25" s="82" t="str">
        <x:v>Особый график / совместимая должность</x:v>
      </x:c>
      <x:c r="I25" s="82" t="str">
        <x:v>Особый график / совместимая должность</x:v>
      </x:c>
      <x:c r="J25" s="81" t="str">
        <x:v>Особые графики — только после проверки дат</x:v>
      </x:c>
    </x:row>
    <x:row r="26" ht="55" customHeight="1">
      <x:c r="A26" s="82" t="str">
        <x:v>КИС 5</x:v>
      </x:c>
      <x:c r="B26" s="82" t="str">
        <x:v>23</x:v>
      </x:c>
      <x:c r="C26" s="81" t="str">
        <x:v>Женская комната</x:v>
      </x:c>
      <x:c r="D26" s="82" t="str">
        <x:v>Женское место по должности</x:v>
      </x:c>
      <x:c r="E26" s="82" t="str">
        <x:v>Женское место по должности</x:v>
      </x:c>
      <x:c r="F26" s="82" t="str">
        <x:v>Женское место по должности</x:v>
      </x:c>
      <x:c r="G26" s="82" t="str">
        <x:v>Женское место по должности</x:v>
      </x:c>
      <x:c r="H26" s="82" t="str">
        <x:v>Женское место по должности</x:v>
      </x:c>
      <x:c r="I26" s="82" t="str">
        <x:v>Женское место по должности</x:v>
      </x:c>
      <x:c r="J26" s="81" t="str">
        <x:v>Мужчин не размещать</x:v>
      </x:c>
    </x:row>
    <x:row r="27" ht="55" customHeight="1">
      <x:c r="A27" s="82" t="str">
        <x:v>КИС 5</x:v>
      </x:c>
      <x:c r="B27" s="82" t="str">
        <x:v>24</x:v>
      </x:c>
      <x:c r="C27" s="81" t="str">
        <x:v>Женская комната</x:v>
      </x:c>
      <x:c r="D27" s="82" t="str">
        <x:v>Женское место по должности</x:v>
      </x:c>
      <x:c r="E27" s="82" t="str">
        <x:v>Женское место по должности</x:v>
      </x:c>
      <x:c r="F27" s="82" t="str">
        <x:v>Женское место по должности</x:v>
      </x:c>
      <x:c r="G27" s="82" t="str">
        <x:v>Женское место по должности</x:v>
      </x:c>
      <x:c r="H27" s="82" t="str">
        <x:v>Женское место по должности</x:v>
      </x:c>
      <x:c r="I27" s="82" t="str">
        <x:v>Женское место по должности</x:v>
      </x:c>
      <x:c r="J27" s="81" t="str">
        <x:v>Мужчин не размещать</x:v>
      </x:c>
    </x:row>
    <x:row r="28" ht="55" customHeight="1">
      <x:c r="A28" s="82" t="str">
        <x:v>КИС 5</x:v>
      </x:c>
      <x:c r="B28" s="82" t="str">
        <x:v>25</x:v>
      </x:c>
      <x:c r="C28" s="81" t="str">
        <x:v>Инженерно-учётная группа</x:v>
      </x:c>
      <x:c r="D28" s="82" t="str">
        <x:v>Инженерно-учётная должность</x:v>
      </x:c>
      <x:c r="E28" s="82" t="str">
        <x:v>Инженерно-учётная должность</x:v>
      </x:c>
      <x:c r="F28" s="82" t="str">
        <x:v>Инженерно-учётная должность</x:v>
      </x:c>
      <x:c r="G28" s="82" t="str">
        <x:v>Инженерно-учётная должность</x:v>
      </x:c>
      <x:c r="H28" s="82" t="str">
        <x:v>Инженерно-учётная должность</x:v>
      </x:c>
      <x:c r="I28" s="82" t="str">
        <x:v>Инженерно-учётная должность</x:v>
      </x:c>
      <x:c r="J28" s="81" t="str">
        <x:v>По графикам проживающих</x:v>
      </x:c>
    </x:row>
    <x:row r="29" ht="55" customHeight="1">
      <x:c r="A29" s="82" t="str">
        <x:v>КИС 5</x:v>
      </x:c>
      <x:c r="B29" s="82" t="str">
        <x:v>26</x:v>
      </x:c>
      <x:c r="C29" s="81" t="str">
        <x:v>Механическая служба и ИТР</x:v>
      </x:c>
      <x:c r="D29" s="82" t="str">
        <x:v>Механическая служба / ИТР</x:v>
      </x:c>
      <x:c r="E29" s="82" t="str">
        <x:v>Механическая служба / ИТР</x:v>
      </x:c>
      <x:c r="F29" s="82" t="str">
        <x:v>Механическая служба / ИТР</x:v>
      </x:c>
      <x:c r="G29" s="82" t="str">
        <x:v>Механическая служба / ИТР</x:v>
      </x:c>
      <x:c r="H29" s="82" t="str">
        <x:v>Механическая служба / ИТР</x:v>
      </x:c>
      <x:c r="I29" s="82" t="str">
        <x:v>Механическая служба / ИТР</x:v>
      </x:c>
      <x:c r="J29" s="81" t="str">
        <x:v>По графикам проживающих</x:v>
      </x:c>
    </x:row>
    <x:row r="30" ht="55" customHeight="1">
      <x:c r="A30" s="82" t="str">
        <x:v>КИС 5</x:v>
      </x:c>
      <x:c r="B30" s="82" t="str">
        <x:v>27</x:v>
      </x:c>
      <x:c r="C30" s="81" t="str">
        <x:v>Оперативное руководство и диспетчерская группа</x:v>
      </x:c>
      <x:c r="D30" s="82" t="str">
        <x:v>Горный мастер / Диспетчер / руководство</x:v>
      </x:c>
      <x:c r="E30" s="82" t="str">
        <x:v>Горный мастер / Диспетчер / руководство</x:v>
      </x:c>
      <x:c r="F30" s="82" t="str">
        <x:v>Горный мастер / Диспетчер / руководство</x:v>
      </x:c>
      <x:c r="G30" s="82" t="str">
        <x:v>Горный мастер / Диспетчер / руководство</x:v>
      </x:c>
      <x:c r="H30" s="82" t="str">
        <x:v>Горный мастер / Диспетчер / руководство</x:v>
      </x:c>
      <x:c r="I30" s="82" t="str">
        <x:v>Горный мастер / Диспетчер / руководство</x:v>
      </x:c>
      <x:c r="J30" s="81" t="str">
        <x:v>По графикам проживающих</x:v>
      </x:c>
    </x:row>
    <x:row r="31" ht="55" customHeight="1">
      <x:c r="A31" s="82" t="str">
        <x:v>КИС 5</x:v>
      </x:c>
      <x:c r="B31" s="82" t="str">
        <x:v>28</x:v>
      </x:c>
      <x:c r="C31" s="81" t="str">
        <x:v>Особые графики и совместимые должности</x:v>
      </x:c>
      <x:c r="D31" s="82" t="str">
        <x:v>ОТ, ПБ, БДД / совместимый ИТР</x:v>
      </x:c>
      <x:c r="E31" s="82" t="str">
        <x:v>ОТ, ПБ, БДД / совместимый ИТР</x:v>
      </x:c>
      <x:c r="F31" s="82" t="str">
        <x:v>ОТ, ПБ, БДД / совместимый ИТР</x:v>
      </x:c>
      <x:c r="G31" s="82" t="str">
        <x:v>ОТ, ПБ, БДД / совместимый ИТР</x:v>
      </x:c>
      <x:c r="H31" s="82" t="str">
        <x:v>ОТ, ПБ, БДД / совместимый ИТР</x:v>
      </x:c>
      <x:c r="I31" s="82" t="str">
        <x:v>ОТ, ПБ, БДД / совместимый ИТР</x:v>
      </x:c>
      <x:c r="J31" s="81" t="str">
        <x:v>Исключить прямой конфликт контроля</x:v>
      </x:c>
    </x:row>
    <x:row r="32" ht="55" customHeight="1">
      <x:c r="A32" s="85" t="str">
        <x:v>КИС 5</x:v>
      </x:c>
      <x:c r="B32" s="85" t="str">
        <x:v>36</x:v>
      </x:c>
      <x:c r="C32" s="86" t="str">
        <x:v>Руководители совместимого уровня</x:v>
      </x:c>
      <x:c r="D32" s="85" t="str">
        <x:v>Руководящая должность</x:v>
      </x:c>
      <x:c r="E32" s="87" t="str">
        <x:v>КОЙКИ НЕТ</x:v>
      </x:c>
      <x:c r="F32" s="87" t="str">
        <x:v>КОЙКИ НЕТ</x:v>
      </x:c>
      <x:c r="G32" s="87" t="str">
        <x:v>КОЙКИ НЕТ</x:v>
      </x:c>
      <x:c r="H32" s="85" t="str">
        <x:v>Руководящая должность</x:v>
      </x:c>
      <x:c r="I32" s="87" t="str">
        <x:v>КОЙКИ НЕТ</x:v>
      </x:c>
      <x:c r="J32" s="86" t="str">
        <x:v>Защищённая зона руководителей</x:v>
      </x:c>
    </x:row>
    <x:row r="33" ht="55" customHeight="1">
      <x:c r="A33" s="85" t="str">
        <x:v>КИС 5</x:v>
      </x:c>
      <x:c r="B33" s="85" t="str">
        <x:v>37</x:v>
      </x:c>
      <x:c r="C33" s="86" t="str">
        <x:v>Руководители совместимого уровня</x:v>
      </x:c>
      <x:c r="D33" s="85" t="str">
        <x:v>Руководящая должность</x:v>
      </x:c>
      <x:c r="E33" s="87" t="str">
        <x:v>КОЙКИ НЕТ</x:v>
      </x:c>
      <x:c r="F33" s="87" t="str">
        <x:v>КОЙКИ НЕТ</x:v>
      </x:c>
      <x:c r="G33" s="87" t="str">
        <x:v>КОЙКИ НЕТ</x:v>
      </x:c>
      <x:c r="H33" s="85" t="str">
        <x:v>Руководящая должность</x:v>
      </x:c>
      <x:c r="I33" s="87" t="str">
        <x:v>КОЙКИ НЕТ</x:v>
      </x:c>
      <x:c r="J33" s="86" t="str">
        <x:v>Защищённая зона руководителей</x:v>
      </x:c>
    </x:row>
    <x:row r="34" ht="55" customHeight="1">
      <x:c r="A34" s="85" t="str">
        <x:v>КИС 5</x:v>
      </x:c>
      <x:c r="B34" s="85" t="str">
        <x:v>38</x:v>
      </x:c>
      <x:c r="C34" s="86" t="str">
        <x:v>Командировки высшего руководства</x:v>
      </x:c>
      <x:c r="D34" s="85" t="str">
        <x:v>Командировки руководства</x:v>
      </x:c>
      <x:c r="E34" s="87" t="str">
        <x:v>КОЙКИ НЕТ</x:v>
      </x:c>
      <x:c r="F34" s="87" t="str">
        <x:v>КОЙКИ НЕТ</x:v>
      </x:c>
      <x:c r="G34" s="87" t="str">
        <x:v>КОЙКИ НЕТ</x:v>
      </x:c>
      <x:c r="H34" s="85" t="str">
        <x:v>Командировки руководства</x:v>
      </x:c>
      <x:c r="I34" s="87" t="str">
        <x:v>КОЙКИ НЕТ</x:v>
      </x:c>
      <x:c r="J34" s="86" t="str">
        <x:v>Защищено: постоянно не заселять</x:v>
      </x:c>
    </x:row>
    <x:row r="35" ht="55" customHeight="1">
      <x:c r="A35" s="82" t="str">
        <x:v>КИС 6</x:v>
      </x:c>
      <x:c r="B35" s="82" t="str">
        <x:v>01</x:v>
      </x:c>
      <x:c r="C35" s="81" t="str">
        <x:v>Техника: ПРМ №035, Автокран №239, КАМАЗ с КМУ №185</x:v>
      </x:c>
      <x:c r="D35" s="82" t="str">
        <x:v>ПРМ №035</x:v>
      </x:c>
      <x:c r="E35" s="82" t="str">
        <x:v>Автокран №239</x:v>
      </x:c>
      <x:c r="F35" s="82" t="str">
        <x:v>КАМАЗ с КМУ №185</x:v>
      </x:c>
      <x:c r="G35" s="82" t="str">
        <x:v>ПРМ №035</x:v>
      </x:c>
      <x:c r="H35" s="82" t="str">
        <x:v>Автокран №239</x:v>
      </x:c>
      <x:c r="I35" s="82" t="str">
        <x:v>КАМАЗ с КМУ №185</x:v>
      </x:c>
      <x:c r="J35" s="81" t="str">
        <x:v>Одна техника занимает пару мест Аn+Бn</x:v>
      </x:c>
    </x:row>
    <x:row r="36" ht="55" customHeight="1">
      <x:c r="A36" s="82" t="str">
        <x:v>КИС 6</x:v>
      </x:c>
      <x:c r="B36" s="82" t="str">
        <x:v>02</x:v>
      </x:c>
      <x:c r="C36" s="81" t="str">
        <x:v>Техника: Вахтовый автобус №007, Вахтовый автобус №103, Вахтовый автобус №149</x:v>
      </x:c>
      <x:c r="D36" s="82" t="str">
        <x:v>Вахтовый автобус №007</x:v>
      </x:c>
      <x:c r="E36" s="82" t="str">
        <x:v>Вахтовый автобус №103</x:v>
      </x:c>
      <x:c r="F36" s="82" t="str">
        <x:v>Вахтовый автобус №149</x:v>
      </x:c>
      <x:c r="G36" s="82" t="str">
        <x:v>Вахтовый автобус №007</x:v>
      </x:c>
      <x:c r="H36" s="82" t="str">
        <x:v>Вахтовый автобус №103</x:v>
      </x:c>
      <x:c r="I36" s="82" t="str">
        <x:v>Вахтовый автобус №149</x:v>
      </x:c>
      <x:c r="J36" s="81" t="str">
        <x:v>Одна техника занимает пару мест Аn+Бn</x:v>
      </x:c>
    </x:row>
    <x:row r="37" ht="55" customHeight="1">
      <x:c r="A37" s="82" t="str">
        <x:v>КИС 6</x:v>
      </x:c>
      <x:c r="B37" s="82" t="str">
        <x:v>03</x:v>
      </x:c>
      <x:c r="C37" s="81" t="str">
        <x:v>Техника: Топливозаправщик №194, Топливозаправщик №222, Топливозаправщик №286</x:v>
      </x:c>
      <x:c r="D37" s="82" t="str">
        <x:v>Топливозаправщик №194</x:v>
      </x:c>
      <x:c r="E37" s="82" t="str">
        <x:v>Топливозаправщик №222</x:v>
      </x:c>
      <x:c r="F37" s="82" t="str">
        <x:v>Топливозаправщик №286</x:v>
      </x:c>
      <x:c r="G37" s="82" t="str">
        <x:v>Топливозаправщик №194</x:v>
      </x:c>
      <x:c r="H37" s="82" t="str">
        <x:v>Топливозаправщик №222</x:v>
      </x:c>
      <x:c r="I37" s="82" t="str">
        <x:v>Топливозаправщик №286</x:v>
      </x:c>
      <x:c r="J37" s="81" t="str">
        <x:v>Одна техника занимает пару мест Аn+Бn</x:v>
      </x:c>
    </x:row>
    <x:row r="38" ht="55" customHeight="1">
      <x:c r="A38" s="82" t="str">
        <x:v>КИС 6</x:v>
      </x:c>
      <x:c r="B38" s="82" t="str">
        <x:v>05</x:v>
      </x:c>
      <x:c r="C38" s="81" t="str">
        <x:v>Техника: КДМ №003, КДМ №055, КДМ №061</x:v>
      </x:c>
      <x:c r="D38" s="82" t="str">
        <x:v>КДМ №003</x:v>
      </x:c>
      <x:c r="E38" s="82" t="str">
        <x:v>КДМ №055</x:v>
      </x:c>
      <x:c r="F38" s="82" t="str">
        <x:v>КДМ №061</x:v>
      </x:c>
      <x:c r="G38" s="82" t="str">
        <x:v>КДМ №003</x:v>
      </x:c>
      <x:c r="H38" s="82" t="str">
        <x:v>КДМ №055</x:v>
      </x:c>
      <x:c r="I38" s="82" t="str">
        <x:v>КДМ №061</x:v>
      </x:c>
      <x:c r="J38" s="81" t="str">
        <x:v>Одна техника занимает пару мест Аn+Бn</x:v>
      </x:c>
    </x:row>
    <x:row r="39" ht="55" customHeight="1">
      <x:c r="A39" s="82" t="str">
        <x:v>КИС 6</x:v>
      </x:c>
      <x:c r="B39" s="82" t="str">
        <x:v>06</x:v>
      </x:c>
      <x:c r="C39" s="81" t="str">
        <x:v>Техника: КДМ №207, Экскаватор №1, Экскаватор №2</x:v>
      </x:c>
      <x:c r="D39" s="82" t="str">
        <x:v>КДМ №207</x:v>
      </x:c>
      <x:c r="E39" s="82" t="str">
        <x:v>Экскаватор №1</x:v>
      </x:c>
      <x:c r="F39" s="82" t="str">
        <x:v>Экскаватор №2</x:v>
      </x:c>
      <x:c r="G39" s="82" t="str">
        <x:v>КДМ №207</x:v>
      </x:c>
      <x:c r="H39" s="82" t="str">
        <x:v>Экскаватор №1</x:v>
      </x:c>
      <x:c r="I39" s="82" t="str">
        <x:v>Экскаватор №2</x:v>
      </x:c>
      <x:c r="J39" s="81" t="str">
        <x:v>Одна техника занимает пару мест Аn+Бn</x:v>
      </x:c>
    </x:row>
    <x:row r="40" ht="55" customHeight="1">
      <x:c r="A40" s="82" t="str">
        <x:v>КИС 6</x:v>
      </x:c>
      <x:c r="B40" s="82" t="str">
        <x:v>08</x:v>
      </x:c>
      <x:c r="C40" s="81" t="str">
        <x:v>Техника: Экскаватор №3, Экскаватор №4, Экскаватор №5</x:v>
      </x:c>
      <x:c r="D40" s="82" t="str">
        <x:v>Экскаватор №3</x:v>
      </x:c>
      <x:c r="E40" s="82" t="str">
        <x:v>Экскаватор №4</x:v>
      </x:c>
      <x:c r="F40" s="82" t="str">
        <x:v>Экскаватор №5</x:v>
      </x:c>
      <x:c r="G40" s="82" t="str">
        <x:v>Экскаватор №3</x:v>
      </x:c>
      <x:c r="H40" s="82" t="str">
        <x:v>Экскаватор №4</x:v>
      </x:c>
      <x:c r="I40" s="82" t="str">
        <x:v>Экскаватор №5</x:v>
      </x:c>
      <x:c r="J40" s="81" t="str">
        <x:v>Одна техника занимает пару мест Аn+Бn</x:v>
      </x:c>
    </x:row>
    <x:row r="41" ht="55" customHeight="1">
      <x:c r="A41" s="82" t="str">
        <x:v>КИС 6</x:v>
      </x:c>
      <x:c r="B41" s="82" t="str">
        <x:v>09</x:v>
      </x:c>
      <x:c r="C41" s="81" t="str">
        <x:v>Техника: Экскаватор №6, Экскаватор №7, Экскаватор №8</x:v>
      </x:c>
      <x:c r="D41" s="82" t="str">
        <x:v>Экскаватор №6</x:v>
      </x:c>
      <x:c r="E41" s="82" t="str">
        <x:v>Экскаватор №7</x:v>
      </x:c>
      <x:c r="F41" s="82" t="str">
        <x:v>Экскаватор №8</x:v>
      </x:c>
      <x:c r="G41" s="82" t="str">
        <x:v>Экскаватор №6</x:v>
      </x:c>
      <x:c r="H41" s="82" t="str">
        <x:v>Экскаватор №7</x:v>
      </x:c>
      <x:c r="I41" s="82" t="str">
        <x:v>Экскаватор №8</x:v>
      </x:c>
      <x:c r="J41" s="81" t="str">
        <x:v>Одна техника занимает пару мест Аn+Бn</x:v>
      </x:c>
    </x:row>
    <x:row r="42" ht="55" customHeight="1">
      <x:c r="A42" s="82" t="str">
        <x:v>КИС 6</x:v>
      </x:c>
      <x:c r="B42" s="82" t="str">
        <x:v>10</x:v>
      </x:c>
      <x:c r="C42" s="81" t="str">
        <x:v>Техника: Экскаватор-планировщик №835, Экскаватор-планировщик №836, Экскаватор-планировщик №821</x:v>
      </x:c>
      <x:c r="D42" s="82" t="str">
        <x:v>Экскаватор-планировщик №835</x:v>
      </x:c>
      <x:c r="E42" s="82" t="str">
        <x:v>Экскаватор-планировщик №836</x:v>
      </x:c>
      <x:c r="F42" s="82" t="str">
        <x:v>Экскаватор-планировщик №821</x:v>
      </x:c>
      <x:c r="G42" s="82" t="str">
        <x:v>Экскаватор-планировщик №835</x:v>
      </x:c>
      <x:c r="H42" s="82" t="str">
        <x:v>Экскаватор-планировщик №836</x:v>
      </x:c>
      <x:c r="I42" s="82" t="str">
        <x:v>Экскаватор-планировщик №821</x:v>
      </x:c>
      <x:c r="J42" s="81" t="str">
        <x:v>Одна техника занимает пару мест Аn+Бn</x:v>
      </x:c>
    </x:row>
    <x:row r="43" ht="55" customHeight="1">
      <x:c r="A43" s="82" t="str">
        <x:v>КИС 6</x:v>
      </x:c>
      <x:c r="B43" s="82" t="str">
        <x:v>11</x:v>
      </x:c>
      <x:c r="C43" s="81" t="str">
        <x:v>Техника: Экскаватор-планировщик №820, Гусеничный бульдозер №1, Гусеничный бульдозер №2</x:v>
      </x:c>
      <x:c r="D43" s="82" t="str">
        <x:v>Экскаватор-планировщик №820</x:v>
      </x:c>
      <x:c r="E43" s="82" t="str">
        <x:v>Гусеничный бульдозер №1</x:v>
      </x:c>
      <x:c r="F43" s="82" t="str">
        <x:v>Гусеничный бульдозер №2</x:v>
      </x:c>
      <x:c r="G43" s="82" t="str">
        <x:v>Экскаватор-планировщик №820</x:v>
      </x:c>
      <x:c r="H43" s="82" t="str">
        <x:v>Гусеничный бульдозер №1</x:v>
      </x:c>
      <x:c r="I43" s="82" t="str">
        <x:v>Гусеничный бульдозер №2</x:v>
      </x:c>
      <x:c r="J43" s="81" t="str">
        <x:v>Одна техника занимает пару мест Аn+Бn</x:v>
      </x:c>
    </x:row>
    <x:row r="44" ht="55" customHeight="1">
      <x:c r="A44" s="82" t="str">
        <x:v>КИС 6</x:v>
      </x:c>
      <x:c r="B44" s="82" t="str">
        <x:v>40</x:v>
      </x:c>
      <x:c r="C44" s="81" t="str">
        <x:v>Техника: Гусеничный бульдозер №3, Гусеничный бульдозер №4, Колёсный бульдозер №1</x:v>
      </x:c>
      <x:c r="D44" s="82" t="str">
        <x:v>Гусеничный бульдозер №3</x:v>
      </x:c>
      <x:c r="E44" s="82" t="str">
        <x:v>Гусеничный бульдозер №4</x:v>
      </x:c>
      <x:c r="F44" s="82" t="str">
        <x:v>Колёсный бульдозер №1</x:v>
      </x:c>
      <x:c r="G44" s="82" t="str">
        <x:v>Гусеничный бульдозер №3</x:v>
      </x:c>
      <x:c r="H44" s="82" t="str">
        <x:v>Гусеничный бульдозер №4</x:v>
      </x:c>
      <x:c r="I44" s="82" t="str">
        <x:v>Колёсный бульдозер №1</x:v>
      </x:c>
      <x:c r="J44" s="81" t="str">
        <x:v>Одна техника занимает пару мест Аn+Бn</x:v>
      </x:c>
    </x:row>
    <x:row r="45" ht="55" customHeight="1">
      <x:c r="A45" s="82" t="str">
        <x:v>КИС 6</x:v>
      </x:c>
      <x:c r="B45" s="82" t="str">
        <x:v>41</x:v>
      </x:c>
      <x:c r="C45" s="81" t="str">
        <x:v>Техника: Колёсный бульдозер №2, Вилочный погрузчик №8840ХА27, Фронтальный погрузчик №8823</x:v>
      </x:c>
      <x:c r="D45" s="82" t="str">
        <x:v>Колёсный бульдозер №2</x:v>
      </x:c>
      <x:c r="E45" s="82" t="str">
        <x:v>Вилочный погрузчик №8840ХА27</x:v>
      </x:c>
      <x:c r="F45" s="82" t="str">
        <x:v>Фронтальный погрузчик №8823</x:v>
      </x:c>
      <x:c r="G45" s="82" t="str">
        <x:v>Колёсный бульдозер №2</x:v>
      </x:c>
      <x:c r="H45" s="82" t="str">
        <x:v>Вилочный погрузчик №8840ХА27</x:v>
      </x:c>
      <x:c r="I45" s="82" t="str">
        <x:v>Фронтальный погрузчик №8823</x:v>
      </x:c>
      <x:c r="J45" s="81" t="str">
        <x:v>Одна техника занимает пару мест Аn+Бn</x:v>
      </x:c>
    </x:row>
    <x:row r="46" ht="55" customHeight="1">
      <x:c r="A46" s="82" t="str">
        <x:v>КИС 6</x:v>
      </x:c>
      <x:c r="B46" s="82" t="str">
        <x:v>42</x:v>
      </x:c>
      <x:c r="C46" s="81" t="str">
        <x:v>Техника: Телескопический погрузчик №8837, Телескопический погрузчик №8838, Автогрейдер №1</x:v>
      </x:c>
      <x:c r="D46" s="82" t="str">
        <x:v>Телескопический погрузчик №8837</x:v>
      </x:c>
      <x:c r="E46" s="82" t="str">
        <x:v>Телескопический погрузчик №8838</x:v>
      </x:c>
      <x:c r="F46" s="82" t="str">
        <x:v>Автогрейдер №1</x:v>
      </x:c>
      <x:c r="G46" s="82" t="str">
        <x:v>Телескопический погрузчик №8837</x:v>
      </x:c>
      <x:c r="H46" s="82" t="str">
        <x:v>Телескопический погрузчик №8838</x:v>
      </x:c>
      <x:c r="I46" s="82" t="str">
        <x:v>Автогрейдер №1</x:v>
      </x:c>
      <x:c r="J46" s="81" t="str">
        <x:v>Одна техника занимает пару мест Аn+Бn</x:v>
      </x:c>
    </x:row>
    <x:row r="47" ht="55" customHeight="1">
      <x:c r="A47" s="82" t="str">
        <x:v>КИС 6</x:v>
      </x:c>
      <x:c r="B47" s="82" t="str">
        <x:v>43</x:v>
      </x:c>
      <x:c r="C47" s="81" t="str">
        <x:v>Техника: Автогрейдер №2, Каток №8184ХА27; Водитель автомобиля, занятый на транспортировании горной массы в технологическом процессе</x:v>
      </x:c>
      <x:c r="D47" s="82" t="str">
        <x:v>Автогрейдер №2</x:v>
      </x:c>
      <x:c r="E47" s="82" t="str">
        <x:v>Каток №8184ХА27</x:v>
      </x:c>
      <x:c r="F47" s="82" t="str">
        <x:v>Водитель грузового авто — закрепление определить</x:v>
      </x:c>
      <x:c r="G47" s="82" t="str">
        <x:v>Автогрейдер №2</x:v>
      </x:c>
      <x:c r="H47" s="82" t="str">
        <x:v>Каток №8184ХА27</x:v>
      </x:c>
      <x:c r="I47" s="82" t="str">
        <x:v>Водитель грузового авто — закрепление определить</x:v>
      </x:c>
      <x:c r="J47" s="81" t="str">
        <x:v>Пара А3+Б3 закрепляется за официальной должностью, не за вымышленной техникой</x:v>
      </x:c>
    </x:row>
    <x:row r="48" ht="55" customHeight="1">
      <x:c r="A48" s="82" t="str">
        <x:v>КИС 6</x:v>
      </x:c>
      <x:c r="B48" s="82" t="str">
        <x:v>44</x:v>
      </x:c>
      <x:c r="C48" s="81" t="str">
        <x:v>Водители легкового транспорта — единая группа</x:v>
      </x:c>
      <x:c r="D48" s="82" t="str">
        <x:v>Водители легкового транспорта</x:v>
      </x:c>
      <x:c r="E48" s="82" t="str">
        <x:v>Водители легкового транспорта</x:v>
      </x:c>
      <x:c r="F48" s="82" t="str">
        <x:v>Водители легкового транспорта</x:v>
      </x:c>
      <x:c r="G48" s="82" t="str">
        <x:v>Водители легкового транспорта</x:v>
      </x:c>
      <x:c r="H48" s="82" t="str">
        <x:v>Водители легкового транспорта</x:v>
      </x:c>
      <x:c r="I48" s="82" t="str">
        <x:v>Водители легкового транспорта</x:v>
      </x:c>
      <x:c r="J48" s="81" t="str">
        <x:v>Постоянный состав группы не разделять</x:v>
      </x:c>
    </x:row>
    <x:row r="49" ht="55" customHeight="1">
      <x:c r="A49" s="82" t="str">
        <x:v>КИС 6</x:v>
      </x:c>
      <x:c r="B49" s="82" t="str">
        <x:v>45</x:v>
      </x:c>
      <x:c r="C49" s="81" t="str">
        <x:v>Резервисты</x:v>
      </x:c>
      <x:c r="D49" s="82" t="str">
        <x:v>Резервисты</x:v>
      </x:c>
      <x:c r="E49" s="82" t="str">
        <x:v>Резервисты</x:v>
      </x:c>
      <x:c r="F49" s="82" t="str">
        <x:v>Резервисты</x:v>
      </x:c>
      <x:c r="G49" s="82" t="str">
        <x:v>Резервисты</x:v>
      </x:c>
      <x:c r="H49" s="82" t="str">
        <x:v>Резервисты</x:v>
      </x:c>
      <x:c r="I49" s="82" t="str">
        <x:v>Резервисты</x:v>
      </x:c>
      <x:c r="J49" s="81" t="str">
        <x:v>Плановый резерв: 5–6 человек</x:v>
      </x:c>
    </x:row>
    <x:row r="50" ht="55" customHeight="1">
      <x:c r="A50" s="82" t="str">
        <x:v>КИС 6</x:v>
      </x:c>
      <x:c r="B50" s="82" t="str">
        <x:v>46</x:v>
      </x:c>
      <x:c r="C50" s="81" t="str">
        <x:v>Сварщики</x:v>
      </x:c>
      <x:c r="D50" s="82" t="str">
        <x:v>Электрогазосварщики</x:v>
      </x:c>
      <x:c r="E50" s="82" t="str">
        <x:v>Электрогазосварщики</x:v>
      </x:c>
      <x:c r="F50" s="82" t="str">
        <x:v>Электрогазосварщики</x:v>
      </x:c>
      <x:c r="G50" s="82" t="str">
        <x:v>Электрогазосварщики</x:v>
      </x:c>
      <x:c r="H50" s="82" t="str">
        <x:v>Электрогазосварщики</x:v>
      </x:c>
      <x:c r="I50" s="82" t="str">
        <x:v>Электрогазосварщики</x:v>
      </x:c>
      <x:c r="J50" s="81" t="str">
        <x:v>По графикам проживающих</x:v>
      </x:c>
    </x:row>
    <x:row r="51" ht="55" customHeight="1">
      <x:c r="A51" s="82" t="str">
        <x:v>КИС 6</x:v>
      </x:c>
      <x:c r="B51" s="82" t="str">
        <x:v>47</x:v>
      </x:c>
      <x:c r="C51" s="81" t="str">
        <x:v>Транспортная и электротехническая поддержка</x:v>
      </x:c>
      <x:c r="D51" s="82" t="str">
        <x:v>Транспортная / электротехническая должность</x:v>
      </x:c>
      <x:c r="E51" s="82" t="str">
        <x:v>Транспортная / электротехническая должность</x:v>
      </x:c>
      <x:c r="F51" s="82" t="str">
        <x:v>Транспортная / электротехническая должность</x:v>
      </x:c>
      <x:c r="G51" s="82" t="str">
        <x:v>Транспортная / электротехническая должность</x:v>
      </x:c>
      <x:c r="H51" s="82" t="str">
        <x:v>Транспортная / электротехническая должность</x:v>
      </x:c>
      <x:c r="I51" s="82" t="str">
        <x:v>Транспортная / электротехническая должность</x:v>
      </x:c>
      <x:c r="J51" s="81" t="str">
        <x:v>По графикам проживающих</x:v>
      </x:c>
    </x:row>
  </x:sheetData>
  <x:mergeCells>
    <x:mergeCell ref="A1:J1"/>
    <x:mergeCell ref="A2:J2"/>
    <x:mergeCell ref="A3:J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  <x:selection pane="topRight" activeCell="E1" sqref="E1"/>
      <x:selection pane="bottomLeft" activeCell="A6" sqref="A6"/>
      <x:selection pane="bottomRight" activeCell="E6" sqref="E6"/>
    </x:sheetView>
  </x:sheetViews>
  <x:sheetFormatPr defaultRowHeight="15"/>
  <x:cols>
    <x:col min="1" max="1" width="11" hidden="0" customWidth="1"/>
    <x:col min="2" max="2" width="9" hidden="0" customWidth="1"/>
    <x:col min="3" max="3" width="34" hidden="0" customWidth="1"/>
    <x:col min="4" max="4" width="23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30" hidden="0" customWidth="1"/>
  </x:cols>
  <x:sheetData>
    <x:row r="1" ht="34" customHeight="1">
      <x:c r="A1" s="4" t="str">
        <x:v>ВАХТА ДЕУШЕВА — РАБОЧИЙ ПРОЕКТ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44" customHeight="1">
      <x:c r="A2" s="9" t="str">
        <x:v>график №12 — бригады №1 и №2; график №11 — бригада №1. Встречная месячная вахта на этом листе не показана. Фактическая рабочая смена и даты заезда пока не подтверждены.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 ht="34" customHeight="1">
      <x:c r="A3" s="97" t="str">
        <x:v>ТЕСТОВОЕ НАЛОЖЕНИЕ: 251 сотрудников; 10 вакансий; 4 временных помощника; 85 закреплений требуют разовой проверки. НЕ УТВЕРЖДАТЬ К ЗАМОРОЗКЕ.</x:v>
      </x:c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9"/>
    </x:row>
    <x:row r="4" ht="26" customHeight="1">
      <x:c r="A4" s="102" t="str">
        <x:v>КОМНАТА И РЕЖИМ</x:v>
      </x:c>
      <x:c r="B4" s="102"/>
      <x:c r="C4" s="102"/>
      <x:c r="D4" s="102"/>
      <x:c r="E4" s="102" t="str">
        <x:v>БЛОК А — 3 КОЙКИ</x:v>
      </x:c>
      <x:c r="F4" s="102"/>
      <x:c r="G4" s="102"/>
      <x:c r="H4" s="102" t="str">
        <x:v>БЛОК Б — 3 КОЙКИ</x:v>
      </x:c>
      <x:c r="I4" s="102"/>
      <x:c r="J4" s="102"/>
      <x:c r="K4" s="102" t="str">
        <x:v>ПРОВЕРКА</x:v>
      </x:c>
      <x:c r="L4" s="102"/>
    </x:row>
    <x:row r="5" ht="34" customHeight="1">
      <x:c r="A5" s="66" t="str">
        <x:v>Общежитие</x:v>
      </x:c>
      <x:c r="B5" s="66" t="str">
        <x:v>Комната</x:v>
      </x:c>
      <x:c r="C5" s="66" t="str">
        <x:v>Назначение</x:v>
      </x:c>
      <x:c r="D5" s="66" t="str">
        <x:v>Режим на заезд</x:v>
      </x:c>
      <x:c r="E5" s="66" t="str">
        <x:v>А1</x:v>
      </x:c>
      <x:c r="F5" s="66" t="str">
        <x:v>А2</x:v>
      </x:c>
      <x:c r="G5" s="66" t="str">
        <x:v>А3</x:v>
      </x:c>
      <x:c r="H5" s="66" t="str">
        <x:v>Б1</x:v>
      </x:c>
      <x:c r="I5" s="66" t="str">
        <x:v>Б2</x:v>
      </x:c>
      <x:c r="J5" s="66" t="str">
        <x:v>Б3</x:v>
      </x:c>
      <x:c r="K5" s="66" t="str">
        <x:v>Результат</x:v>
      </x:c>
      <x:c r="L5" s="66" t="str">
        <x:v>Комментарий ответственного</x:v>
      </x:c>
    </x:row>
    <x:row r="6" ht="64" customHeight="1">
      <x:c r="A6" s="82" t="str">
        <x:v>КИС 5</x:v>
      </x:c>
      <x:c r="B6" s="82" t="str">
        <x:v>01</x:v>
      </x:c>
      <x:c r="C6" s="81" t="str">
        <x:v>Тяжёлая техника: БелАЗ №10, БелАЗ №11, БелАЗ №12</x:v>
      </x:c>
      <x:c r="D6" s="82" t="str">
        <x:v>Не назначен</x:v>
      </x:c>
      <x:c r="E6" s="103" t="str">
        <x:v>Звягинцев Е.П.
БелАЗ №10
бригада №1</x:v>
      </x:c>
      <x:c r="F6" s="103" t="str">
        <x:v>Насибулин А.М.
БелАЗ №11
бригада №1</x:v>
      </x:c>
      <x:c r="G6" s="103" t="str">
        <x:v>Лаптев Д.С.
БелАЗ №12
бригада №2</x:v>
      </x:c>
      <x:c r="H6" s="103" t="str">
        <x:v>Шаршаков А.А.
БелАЗ №10
бригада №2</x:v>
      </x:c>
      <x:c r="I6" s="103" t="str">
        <x:v>Бегеза А.С.
БелАЗ №11
бригада №2</x:v>
      </x:c>
      <x:c r="J6" s="103" t="str">
        <x:v>Очиров Ц.А.
БелАЗ №12
бригада №1</x:v>
      </x:c>
      <x:c r="K6" s="104" t="str">
        <x:v>Указать режим</x:v>
      </x:c>
      <x:c r="L6" s="115" t="str"/>
    </x:row>
    <x:row r="7" ht="64" customHeight="1">
      <x:c r="A7" s="82" t="str">
        <x:v>КИС 5</x:v>
      </x:c>
      <x:c r="B7" s="82" t="str">
        <x:v>02</x:v>
      </x:c>
      <x:c r="C7" s="81" t="str">
        <x:v>Тяжёлая техника: БелАЗ №13, БелАЗ №14, БелАЗ №15</x:v>
      </x:c>
      <x:c r="D7" s="82" t="str">
        <x:v>Не назначен</x:v>
      </x:c>
      <x:c r="E7" s="103" t="str">
        <x:v>Белых С.С.
БелАЗ №13
бригада №1</x:v>
      </x:c>
      <x:c r="F7" s="103" t="str">
        <x:v>Сатыбалов М.С.
БелАЗ №14
бригада №1</x:v>
      </x:c>
      <x:c r="G7" s="103" t="str">
        <x:v>Авдеенко С.А.
БелАЗ №15
бригада №2</x:v>
      </x:c>
      <x:c r="H7" s="103" t="str">
        <x:v>Николаев А.А.
БелАЗ №13
бригада №2</x:v>
      </x:c>
      <x:c r="I7" s="103" t="str">
        <x:v>Верховский А.В.
БелАЗ №14
бригада №2</x:v>
      </x:c>
      <x:c r="J7" s="103" t="str">
        <x:v>Торгонский К.А.
БелАЗ №15
бригада №1</x:v>
      </x:c>
      <x:c r="K7" s="104" t="str">
        <x:v>Указать режим</x:v>
      </x:c>
      <x:c r="L7" s="115" t="str"/>
    </x:row>
    <x:row r="8" ht="64" customHeight="1">
      <x:c r="A8" s="82" t="str">
        <x:v>КИС 5</x:v>
      </x:c>
      <x:c r="B8" s="82" t="str">
        <x:v>03</x:v>
      </x:c>
      <x:c r="C8" s="81" t="str">
        <x:v>Тяжёлая техника: БелАЗ №16, БелАЗ №17, БелАЗ №18</x:v>
      </x:c>
      <x:c r="D8" s="82" t="str">
        <x:v>Не назначен</x:v>
      </x:c>
      <x:c r="E8" s="103" t="str">
        <x:v>Усольцев И.П.
БелАЗ №16
бригада №1</x:v>
      </x:c>
      <x:c r="F8" s="103" t="str">
        <x:v>Хонькин Ю.П.
БелАЗ №17
бригада №1</x:v>
      </x:c>
      <x:c r="G8" s="103" t="str">
        <x:v>Голубничий А.Ю.
БелАЗ №18
бригада №2</x:v>
      </x:c>
      <x:c r="H8" s="103" t="str">
        <x:v>Беспамятных Д.А.
БелАЗ №16
бригада №2</x:v>
      </x:c>
      <x:c r="I8" s="103" t="str">
        <x:v>Гладких Ю.А.
БелАЗ №17
бригада №2</x:v>
      </x:c>
      <x:c r="J8" s="103" t="str">
        <x:v>Локтионов Д.А.
БелАЗ №18
бригада №1</x:v>
      </x:c>
      <x:c r="K8" s="104" t="str">
        <x:v>Указать режим</x:v>
      </x:c>
      <x:c r="L8" s="115" t="str"/>
    </x:row>
    <x:row r="9" ht="64" customHeight="1">
      <x:c r="A9" s="82" t="str">
        <x:v>КИС 5</x:v>
      </x:c>
      <x:c r="B9" s="82" t="str">
        <x:v>04</x:v>
      </x:c>
      <x:c r="C9" s="81" t="str">
        <x:v>Тяжёлая техника: БелАЗ №19, БелАЗ №20, БелАЗ №21</x:v>
      </x:c>
      <x:c r="D9" s="82" t="str">
        <x:v>Не назначен</x:v>
      </x:c>
      <x:c r="E9" s="103" t="str">
        <x:v>Радощук А.Я.
БелАЗ №19
бригада №1</x:v>
      </x:c>
      <x:c r="F9" s="103" t="str">
        <x:v>Осокин А.В.
БелАЗ №20
бригада №1</x:v>
      </x:c>
      <x:c r="G9" s="103" t="str">
        <x:v>Лукашевичус Н.Р.
БелАЗ №21
бригада №2</x:v>
      </x:c>
      <x:c r="H9" s="103" t="str">
        <x:v>Будаев Д.Н.
БелАЗ №19
бригада №2</x:v>
      </x:c>
      <x:c r="I9" s="103" t="str">
        <x:v>Корсаков В.С.
БелАЗ №20
бригада №2</x:v>
      </x:c>
      <x:c r="J9" s="103" t="str">
        <x:v>Останин Е.В.
БелАЗ №21
бригада №1</x:v>
      </x:c>
      <x:c r="K9" s="104" t="str">
        <x:v>Указать режим</x:v>
      </x:c>
      <x:c r="L9" s="115" t="str"/>
    </x:row>
    <x:row r="10" ht="64" customHeight="1">
      <x:c r="A10" s="82" t="str">
        <x:v>КИС 5</x:v>
      </x:c>
      <x:c r="B10" s="82" t="str">
        <x:v>05</x:v>
      </x:c>
      <x:c r="C10" s="81" t="str">
        <x:v>Тяжёлая техника: БелАЗ №22, БелАЗ №23, БелАЗ №24</x:v>
      </x:c>
      <x:c r="D10" s="82" t="str">
        <x:v>Не назначен</x:v>
      </x:c>
      <x:c r="E10" s="103" t="str">
        <x:v>Любушкин И.М.
БелАЗ №22
бригада №1</x:v>
      </x:c>
      <x:c r="F10" s="103" t="str">
        <x:v>Башлыков А.П.
БелАЗ №23
бригада №1</x:v>
      </x:c>
      <x:c r="G10" s="103" t="str">
        <x:v>Бабушкин М.В.
БелАЗ №24
бригада №2</x:v>
      </x:c>
      <x:c r="H10" s="103" t="str">
        <x:v>Добрычев А.И.
БелАЗ №22
бригада №2</x:v>
      </x:c>
      <x:c r="I10" s="103" t="str">
        <x:v>Морозов О.В.
БелАЗ №23
бригада №2</x:v>
      </x:c>
      <x:c r="J10" s="103" t="str">
        <x:v>Ковалев В.В.
БелАЗ №24
бригада №1</x:v>
      </x:c>
      <x:c r="K10" s="104" t="str">
        <x:v>Указать режим</x:v>
      </x:c>
      <x:c r="L10" s="115" t="str"/>
    </x:row>
    <x:row r="11" ht="64" customHeight="1">
      <x:c r="A11" s="82" t="str">
        <x:v>КИС 5</x:v>
      </x:c>
      <x:c r="B11" s="82" t="str">
        <x:v>06</x:v>
      </x:c>
      <x:c r="C11" s="81" t="str">
        <x:v>Тяжёлая техника: БелАЗ №25, БелАЗ №26, БелАЗ №27</x:v>
      </x:c>
      <x:c r="D11" s="82" t="str">
        <x:v>Не назначен</x:v>
      </x:c>
      <x:c r="E11" s="103" t="str">
        <x:v>Попов И.В.
БелАЗ №25
бригада №1</x:v>
      </x:c>
      <x:c r="F11" s="103" t="str">
        <x:v>Цырендагбаев Р.Д.
БелАЗ №26
бригада №1</x:v>
      </x:c>
      <x:c r="G11" s="103" t="str">
        <x:v>Алдохин С.А.
БелАЗ №27
бригада №2</x:v>
      </x:c>
      <x:c r="H11" s="103" t="str">
        <x:v>Шабакаев М.О.
БелАЗ №25
бригада №2</x:v>
      </x:c>
      <x:c r="I11" s="103" t="str">
        <x:v>Пильжитов Б.Б.
БелАЗ №26
бригада №2</x:v>
      </x:c>
      <x:c r="J11" s="103" t="str">
        <x:v>Вахрушев А.А.
БелАЗ №27
бригада №1</x:v>
      </x:c>
      <x:c r="K11" s="104" t="str">
        <x:v>Указать режим</x:v>
      </x:c>
      <x:c r="L11" s="115" t="str"/>
    </x:row>
    <x:row r="12" ht="64" customHeight="1">
      <x:c r="A12" s="82" t="str">
        <x:v>КИС 5</x:v>
      </x:c>
      <x:c r="B12" s="82" t="str">
        <x:v>07</x:v>
      </x:c>
      <x:c r="C12" s="81" t="str">
        <x:v>Тяжёлая техника: БелАЗ №28, БелАЗ №29, БелАЗ №30</x:v>
      </x:c>
      <x:c r="D12" s="82" t="str">
        <x:v>Не назначен</x:v>
      </x:c>
      <x:c r="E12" s="103" t="str">
        <x:v>Карбаинов Г.А.
БелАЗ №28
бригада №1</x:v>
      </x:c>
      <x:c r="F12" s="103" t="str">
        <x:v>Ягупов М.А.
БелАЗ №29
бригада №1</x:v>
      </x:c>
      <x:c r="G12" s="103" t="str">
        <x:v>Тетерин Р.В.
БелАЗ №30
бригада №2</x:v>
      </x:c>
      <x:c r="H12" s="103" t="str">
        <x:v>Степанов Г.Р.
БелАЗ №28
бригада №2</x:v>
      </x:c>
      <x:c r="I12" s="103" t="str">
        <x:v>Филиппов В.В.
БелАЗ №29
бригада №2</x:v>
      </x:c>
      <x:c r="J12" s="103" t="str">
        <x:v>Васильев А.В.
БелАЗ №30
бригада №1</x:v>
      </x:c>
      <x:c r="K12" s="104" t="str">
        <x:v>Указать режим</x:v>
      </x:c>
      <x:c r="L12" s="115" t="str"/>
    </x:row>
    <x:row r="13" ht="64" customHeight="1">
      <x:c r="A13" s="82" t="str">
        <x:v>КИС 5</x:v>
      </x:c>
      <x:c r="B13" s="82" t="str">
        <x:v>08</x:v>
      </x:c>
      <x:c r="C13" s="81" t="str">
        <x:v>Тяжёлая техника: БелАЗ №31, БелАЗ №32, БелАЗ №33</x:v>
      </x:c>
      <x:c r="D13" s="82" t="str">
        <x:v>Не назначен</x:v>
      </x:c>
      <x:c r="E13" s="103" t="str">
        <x:v>Красильников С.В.
БелАЗ №31
бригада №1</x:v>
      </x:c>
      <x:c r="F13" s="103" t="str">
        <x:v>Фролов Е.В.
БелАЗ №32
бригада №1</x:v>
      </x:c>
      <x:c r="G13" s="103" t="str">
        <x:v>Кожин А.В.
БелАЗ №33
бригада №2</x:v>
      </x:c>
      <x:c r="H13" s="103" t="str">
        <x:v>Авдеев Д.А.
БелАЗ №31
бригада №2</x:v>
      </x:c>
      <x:c r="I13" s="103" t="str">
        <x:v>Тютрин С.Н.
БелАЗ №32
бригада №2</x:v>
      </x:c>
      <x:c r="J13" s="103" t="str">
        <x:v>Иванов А.С.
БелАЗ №33
бригада №1</x:v>
      </x:c>
      <x:c r="K13" s="104" t="str">
        <x:v>Указать режим</x:v>
      </x:c>
      <x:c r="L13" s="115" t="str"/>
    </x:row>
    <x:row r="14" ht="64" customHeight="1">
      <x:c r="A14" s="82" t="str">
        <x:v>КИС 5</x:v>
      </x:c>
      <x:c r="B14" s="82" t="str">
        <x:v>09</x:v>
      </x:c>
      <x:c r="C14" s="81" t="str">
        <x:v>Тяжёлая техника: БелАЗ №34, БелАЗ №35, БелАЗ №36</x:v>
      </x:c>
      <x:c r="D14" s="82" t="str">
        <x:v>Не назначен</x:v>
      </x:c>
      <x:c r="E14" s="103" t="str">
        <x:v>Щербинин М.С.
БелАЗ №34
бригада №1</x:v>
      </x:c>
      <x:c r="F14" s="103" t="str">
        <x:v>Афонин Д.В.
БелАЗ №35
бригада №1</x:v>
      </x:c>
      <x:c r="G14" s="103" t="str">
        <x:v>Ядрышников Н.Н.
БелАЗ №36
бригада №2</x:v>
      </x:c>
      <x:c r="H14" s="103" t="str">
        <x:v>Писаренко И.А.
БелАЗ №34
бригада №2</x:v>
      </x:c>
      <x:c r="I14" s="103" t="str">
        <x:v>Пенюков В.П.
БелАЗ №35
бригада №2</x:v>
      </x:c>
      <x:c r="J14" s="103" t="str">
        <x:v>Сахаров В.В.
БелАЗ №36
бригада №1</x:v>
      </x:c>
      <x:c r="K14" s="104" t="str">
        <x:v>Указать режим</x:v>
      </x:c>
      <x:c r="L14" s="115" t="str"/>
    </x:row>
    <x:row r="15" ht="64" customHeight="1">
      <x:c r="A15" s="82" t="str">
        <x:v>КИС 5</x:v>
      </x:c>
      <x:c r="B15" s="82" t="str">
        <x:v>10</x:v>
      </x:c>
      <x:c r="C15" s="81" t="str">
        <x:v>Тяжёлая техника: БелАЗ №37, БелАЗ №38, БелАЗ №39</x:v>
      </x:c>
      <x:c r="D15" s="82" t="str">
        <x:v>Не назначен</x:v>
      </x:c>
      <x:c r="E15" s="103" t="str">
        <x:v>Карбаинов А.Г.
БелАЗ №37
бригада №1</x:v>
      </x:c>
      <x:c r="F15" s="103" t="str">
        <x:v>Котляров Н.А.
БелАЗ №38
бригада №1</x:v>
      </x:c>
      <x:c r="G15" s="103" t="str">
        <x:v>Власов А.А.
БелАЗ №39
бригада №2</x:v>
      </x:c>
      <x:c r="H15" s="103" t="str">
        <x:v>Мамулькин С.А.
БелАЗ №37
бригада №2</x:v>
      </x:c>
      <x:c r="I15" s="103" t="str">
        <x:v>Пряхин А.Н.
БелАЗ №38
бригада №2</x:v>
      </x:c>
      <x:c r="J15" s="103" t="str">
        <x:v>Щерба К.В.
БелАЗ №39
бригада №1</x:v>
      </x:c>
      <x:c r="K15" s="104" t="str">
        <x:v>Указать режим</x:v>
      </x:c>
      <x:c r="L15" s="115" t="str"/>
    </x:row>
    <x:row r="16" ht="64" customHeight="1">
      <x:c r="A16" s="82" t="str">
        <x:v>КИС 5</x:v>
      </x:c>
      <x:c r="B16" s="82" t="str">
        <x:v>11</x:v>
      </x:c>
      <x:c r="C16" s="81" t="str">
        <x:v>Тяжёлая техника: БелАЗ №40, БелАЗ №41, БелАЗ №42</x:v>
      </x:c>
      <x:c r="D16" s="82" t="str">
        <x:v>Не назначен</x:v>
      </x:c>
      <x:c r="E16" s="103" t="str">
        <x:v>Исабеков С.А.
БелАЗ №40
бригада №1</x:v>
      </x:c>
      <x:c r="F16" s="103" t="str">
        <x:v>Журавлев С.А.
БелАЗ №41
бригада №1</x:v>
      </x:c>
      <x:c r="G16" s="103" t="str">
        <x:v>Воронов А.Н.
БелАЗ №42
бригада №2</x:v>
      </x:c>
      <x:c r="H16" s="103" t="str">
        <x:v>Колесниченко Е.Ю.
БелАЗ №40
бригада №2</x:v>
      </x:c>
      <x:c r="I16" s="103" t="str">
        <x:v>Козырев М.В.
БелАЗ №41
бригада №2</x:v>
      </x:c>
      <x:c r="J16" s="103" t="str">
        <x:v>Ледянкин Д.А.
БелАЗ №42
бригада №1</x:v>
      </x:c>
      <x:c r="K16" s="104" t="str">
        <x:v>Указать режим</x:v>
      </x:c>
      <x:c r="L16" s="115" t="str"/>
    </x:row>
    <x:row r="17" ht="64" customHeight="1">
      <x:c r="A17" s="82" t="str">
        <x:v>КИС 5</x:v>
      </x:c>
      <x:c r="B17" s="82" t="str">
        <x:v>12</x:v>
      </x:c>
      <x:c r="C17" s="81" t="str">
        <x:v>Тяжёлая техника: БелАЗ №43, БелАЗ №44, БелАЗ №45</x:v>
      </x:c>
      <x:c r="D17" s="82" t="str">
        <x:v>Не назначен</x:v>
      </x:c>
      <x:c r="E17" s="103" t="str">
        <x:v>Лобанов А.А.
БелАЗ №43
бригада №1</x:v>
      </x:c>
      <x:c r="F17" s="103" t="str">
        <x:v>Петров-Романченко Д.И.
БелАЗ №44
бригада №1</x:v>
      </x:c>
      <x:c r="G17" s="103" t="str">
        <x:v>Мемяйкин Э.Н.
БелАЗ №45
бригада №2</x:v>
      </x:c>
      <x:c r="H17" s="103" t="str">
        <x:v>Брылёв С.В.
БелАЗ №43
бригада №2</x:v>
      </x:c>
      <x:c r="I17" s="103" t="str">
        <x:v>Смолкин П.С.
БелАЗ №44
бригада №2</x:v>
      </x:c>
      <x:c r="J17" s="103" t="str">
        <x:v>Батыргареев С.М.
БелАЗ №45
бригада №1</x:v>
      </x:c>
      <x:c r="K17" s="104" t="str">
        <x:v>Указать режим</x:v>
      </x:c>
      <x:c r="L17" s="115" t="str"/>
    </x:row>
    <x:row r="18" ht="64" customHeight="1">
      <x:c r="A18" s="82" t="str">
        <x:v>КИС 5</x:v>
      </x:c>
      <x:c r="B18" s="82" t="str">
        <x:v>13</x:v>
      </x:c>
      <x:c r="C18" s="81" t="str">
        <x:v>Тяжёлая техника: БелАЗ №46, БелАЗ №47, БелАЗ №48</x:v>
      </x:c>
      <x:c r="D18" s="82" t="str">
        <x:v>Не назначен</x:v>
      </x:c>
      <x:c r="E18" s="103" t="str">
        <x:v>Герасимов Н.Ю.
БелАЗ №46
бригада №1</x:v>
      </x:c>
      <x:c r="F18" s="103" t="str">
        <x:v>Трапезников А.В.
БелАЗ №47
бригада №1</x:v>
      </x:c>
      <x:c r="G18" s="103" t="str">
        <x:v>Попов И.В.
БелАЗ №48
бригада №2</x:v>
      </x:c>
      <x:c r="H18" s="103" t="str">
        <x:v>Редковолосов Я.П.
БелАЗ №46
бригада №2</x:v>
      </x:c>
      <x:c r="I18" s="103" t="str">
        <x:v>Филиппов А.П.
БелАЗ №47
бригада №2</x:v>
      </x:c>
      <x:c r="J18" s="103" t="str">
        <x:v>Глушок А.С.
БелАЗ №48
бригада №1</x:v>
      </x:c>
      <x:c r="K18" s="104" t="str">
        <x:v>Указать режим</x:v>
      </x:c>
      <x:c r="L18" s="115" t="str"/>
    </x:row>
    <x:row r="19" ht="64" customHeight="1">
      <x:c r="A19" s="82" t="str">
        <x:v>КИС 5</x:v>
      </x:c>
      <x:c r="B19" s="82" t="str">
        <x:v>14</x:v>
      </x:c>
      <x:c r="C19" s="81" t="str">
        <x:v>Тяжёлая техника: БелАЗ №49, БелАЗ №50, БелАЗ №51</x:v>
      </x:c>
      <x:c r="D19" s="82" t="str">
        <x:v>Не назначен</x:v>
      </x:c>
      <x:c r="E19" s="103" t="str">
        <x:v>Матвиенко Д.А.
БелАЗ №49
бригада №1</x:v>
      </x:c>
      <x:c r="F19" s="103" t="str">
        <x:v>Парфенчук А.А.
БелАЗ №50
бригада №1</x:v>
      </x:c>
      <x:c r="G19" s="103" t="str">
        <x:v>Турпанов А.В.
БелАЗ №51
бригада №2</x:v>
      </x:c>
      <x:c r="H19" s="103" t="str">
        <x:v>Борисов А.А.
БелАЗ №49
бригада №2</x:v>
      </x:c>
      <x:c r="I19" s="103" t="str">
        <x:v>Андрющенко Д.Н.
БелАЗ №50
бригада №2</x:v>
      </x:c>
      <x:c r="J19" s="103" t="str">
        <x:v>Тельнов А.А.
БелАЗ №51
бригада №1</x:v>
      </x:c>
      <x:c r="K19" s="104" t="str">
        <x:v>Указать режим</x:v>
      </x:c>
      <x:c r="L19" s="115" t="str"/>
    </x:row>
    <x:row r="20" ht="64" customHeight="1">
      <x:c r="A20" s="82" t="str">
        <x:v>КИС 5</x:v>
      </x:c>
      <x:c r="B20" s="82" t="str">
        <x:v>15</x:v>
      </x:c>
      <x:c r="C20" s="81" t="str">
        <x:v>Тяжёлая техника: БелАЗ №52, Тягач-эвакуатор №53, NHL №54</x:v>
      </x:c>
      <x:c r="D20" s="82" t="str">
        <x:v>Не назначен</x:v>
      </x:c>
      <x:c r="E20" s="103" t="str">
        <x:v>Шайхутдинов А.Р.
БелАЗ №52
бригада №1</x:v>
      </x:c>
      <x:c r="F20" s="103" t="str">
        <x:v>Ледянкин В.А.
Тягач-эвакуатор №53
бригада №1</x:v>
      </x:c>
      <x:c r="G20" s="103" t="str">
        <x:v>Юскаев С.А.
NHL №54
бригада №2</x:v>
      </x:c>
      <x:c r="H20" s="103" t="str">
        <x:v>Мочалов Д.И.
БелАЗ №52
бригада №2</x:v>
      </x:c>
      <x:c r="I20" s="106" t="str">
        <x:v>Байрамгулов Ф.А.
Тягач-эвакуатор №53
бригада №2
ПРОВЕРИТЬ ЗАКРЕПЛЕНИЕ</x:v>
      </x:c>
      <x:c r="J20" s="103" t="str">
        <x:v>Лемешев П.А.
NHL №54
бригада №1</x:v>
      </x:c>
      <x:c r="K20" s="104" t="str">
        <x:v>Режим + закрепления</x:v>
      </x:c>
      <x:c r="L20" s="115" t="str">
        <x:v>1 закрепл. подтвердить</x:v>
      </x:c>
    </x:row>
    <x:row r="21" ht="64" customHeight="1">
      <x:c r="A21" s="82" t="str">
        <x:v>КИС 5</x:v>
      </x:c>
      <x:c r="B21" s="82" t="str">
        <x:v>16</x:v>
      </x:c>
      <x:c r="C21" s="81" t="str">
        <x:v>Тяжёлая техника: NHL №55, NHL №56, NHL №57</x:v>
      </x:c>
      <x:c r="D21" s="82" t="str">
        <x:v>Не назначен</x:v>
      </x:c>
      <x:c r="E21" s="103" t="str">
        <x:v>Григорьев С.В.
NHL №55
бригада №1</x:v>
      </x:c>
      <x:c r="F21" s="103" t="str">
        <x:v>Корепанов А.П.
NHL №56
бригада №1</x:v>
      </x:c>
      <x:c r="G21" s="103" t="str">
        <x:v>Агеев С.В.
NHL №57
бригада №2</x:v>
      </x:c>
      <x:c r="H21" s="103" t="str">
        <x:v>Панфилов А.В.
NHL №55
бригада №2</x:v>
      </x:c>
      <x:c r="I21" s="103" t="str">
        <x:v>Корастелев В.А.
NHL №56
бригада №2</x:v>
      </x:c>
      <x:c r="J21" s="103" t="str">
        <x:v>Усманов С.С.
NHL №57
бригада №1</x:v>
      </x:c>
      <x:c r="K21" s="104" t="str">
        <x:v>Указать режим</x:v>
      </x:c>
      <x:c r="L21" s="115" t="str"/>
    </x:row>
    <x:row r="22" ht="64" customHeight="1">
      <x:c r="A22" s="82" t="str">
        <x:v>КИС 5</x:v>
      </x:c>
      <x:c r="B22" s="82" t="str">
        <x:v>17</x:v>
      </x:c>
      <x:c r="C22" s="81" t="str">
        <x:v>Тяжёлая техника: NHL №58, NHL №59, NHL №60</x:v>
      </x:c>
      <x:c r="D22" s="82" t="str">
        <x:v>Не назначен</x:v>
      </x:c>
      <x:c r="E22" s="103" t="str">
        <x:v>Щербатов А.В.
NHL №58
бригада №1</x:v>
      </x:c>
      <x:c r="F22" s="103" t="str">
        <x:v>Маркин В.В.
NHL №59
бригада №1</x:v>
      </x:c>
      <x:c r="G22" s="103" t="str">
        <x:v>Пархачев А.В.
NHL №60
бригада №2</x:v>
      </x:c>
      <x:c r="H22" s="103" t="str">
        <x:v>Журавлев М.А.
NHL №58
бригада №2</x:v>
      </x:c>
      <x:c r="I22" s="103" t="str">
        <x:v>Захаров А.В.
NHL №59
бригада №2</x:v>
      </x:c>
      <x:c r="J22" s="103" t="str">
        <x:v>Жакенов Ж.А.
NHL №60
бригада №1</x:v>
      </x:c>
      <x:c r="K22" s="104" t="str">
        <x:v>Указать режим</x:v>
      </x:c>
      <x:c r="L22" s="115" t="str"/>
    </x:row>
    <x:row r="23" ht="64" customHeight="1">
      <x:c r="A23" s="82" t="str">
        <x:v>КИС 5</x:v>
      </x:c>
      <x:c r="B23" s="82" t="str">
        <x:v>19</x:v>
      </x:c>
      <x:c r="C23" s="81" t="str">
        <x:v>Тяжёлая техника: NHL №61, NHL №62, NHL №63</x:v>
      </x:c>
      <x:c r="D23" s="82" t="str">
        <x:v>Не назначен</x:v>
      </x:c>
      <x:c r="E23" s="103" t="str">
        <x:v>Пятков Е.В.
NHL №61
бригада №1</x:v>
      </x:c>
      <x:c r="F23" s="103" t="str">
        <x:v>Козлов О.А.
NHL №62
бригада №1</x:v>
      </x:c>
      <x:c r="G23" s="103" t="str">
        <x:v>Спиридонов Е.А.
NHL №63
бригада №2</x:v>
      </x:c>
      <x:c r="H23" s="103" t="str">
        <x:v>Фролов Ю.С.
NHL №61
бригада №2</x:v>
      </x:c>
      <x:c r="I23" s="103" t="str">
        <x:v>Култыгин С.О.
NHL №62
бригада №2</x:v>
      </x:c>
      <x:c r="J23" s="103" t="str">
        <x:v>Михайлов А.В.
NHL №63
бригада №1</x:v>
      </x:c>
      <x:c r="K23" s="104" t="str">
        <x:v>Указать режим</x:v>
      </x:c>
      <x:c r="L23" s="115" t="str"/>
    </x:row>
    <x:row r="24" ht="64" customHeight="1">
      <x:c r="A24" s="82" t="str">
        <x:v>КИС 5</x:v>
      </x:c>
      <x:c r="B24" s="82" t="str">
        <x:v>20</x:v>
      </x:c>
      <x:c r="C24" s="81" t="str">
        <x:v>Ремонтные рабочие — группа 2</x:v>
      </x:c>
      <x:c r="D24" s="82" t="str">
        <x:v>По графикам должностей</x:v>
      </x:c>
      <x:c r="E24" s="103" t="str">
        <x:v>Тонков А.М.
Слесарь-ремонтник
бригада №1</x:v>
      </x:c>
      <x:c r="F24" s="103" t="str">
        <x:v>Черменев М.С.
Слесарь-ремонтник
бригада №1</x:v>
      </x:c>
      <x:c r="G24" s="103" t="str">
        <x:v>Токарев В.В.
Слесарь-ремонтник
бригада №2</x:v>
      </x:c>
      <x:c r="H24" s="103" t="str">
        <x:v>Тляусин Т.М.
Слесарь-ремонтник
бригада №1</x:v>
      </x:c>
      <x:c r="I24" s="103" t="str">
        <x:v>Тригуб А.В.
Слесарь-ремонтник
бригада №2</x:v>
      </x:c>
      <x:c r="J24" s="103" t="str">
        <x:v>Ушанин А.А.
Слесарь-ремонтник
бригада №1</x:v>
      </x:c>
      <x:c r="K24" s="107" t="str">
        <x:v>Структурно допустимо</x:v>
      </x:c>
      <x:c r="L24" s="115" t="str"/>
    </x:row>
    <x:row r="25" ht="64" customHeight="1">
      <x:c r="A25" s="82" t="str">
        <x:v>КИС 5</x:v>
      </x:c>
      <x:c r="B25" s="82" t="str">
        <x:v>21</x:v>
      </x:c>
      <x:c r="C25" s="81" t="str">
        <x:v>Ремонтные рабочие — группа 1</x:v>
      </x:c>
      <x:c r="D25" s="82" t="str">
        <x:v>По графикам должностей</x:v>
      </x:c>
      <x:c r="E25" s="103" t="str">
        <x:v>Ахмедьянов М.М.
Слесарь-ремонтник
бригада №1</x:v>
      </x:c>
      <x:c r="F25" s="103" t="str">
        <x:v>Жигжитов Ж.Н.
Слесарь-ремонтник
бригада №1</x:v>
      </x:c>
      <x:c r="G25" s="103" t="str">
        <x:v>Семеников И.Д.
Слесарь-ремонтник
бригада №1</x:v>
      </x:c>
      <x:c r="H25" s="103" t="str">
        <x:v>Лобанов С.В.
Слесарь-ремонтник
бригада №1</x:v>
      </x:c>
      <x:c r="I25" s="103" t="str">
        <x:v>Пургин Д.С.
Слесарь-ремонтник
бригада №2</x:v>
      </x:c>
      <x:c r="J25" s="103" t="str">
        <x:v>Кулабухов А.В.
Слесарь-ремонтник
бригада №1</x:v>
      </x:c>
      <x:c r="K25" s="107" t="str">
        <x:v>Структурно допустимо</x:v>
      </x:c>
      <x:c r="L25" s="115" t="str"/>
    </x:row>
    <x:row r="26" ht="64" customHeight="1">
      <x:c r="A26" s="82" t="str">
        <x:v>КИС 5</x:v>
      </x:c>
      <x:c r="B26" s="82" t="str">
        <x:v>22</x:v>
      </x:c>
      <x:c r="C26" s="81" t="str">
        <x:v>Особые графики и совместимые должности</x:v>
      </x:c>
      <x:c r="D26" s="82" t="str">
        <x:v>Особый — по датам</x:v>
      </x:c>
      <x:c r="E26" s="86" t="str">
        <x:v>ОСОБЫЙ ГРАФИК
нужны даты</x:v>
      </x:c>
      <x:c r="F26" s="86" t="str">
        <x:v>ОСОБЫЙ ГРАФИК
нужны даты</x:v>
      </x:c>
      <x:c r="G26" s="86" t="str">
        <x:v>ОСОБЫЙ ГРАФИК
нужны даты</x:v>
      </x:c>
      <x:c r="H26" s="106" t="str">
        <x:v>Бугаев И.А.
Водитель самосвала
бригада №2
ПРОВЕРИТЬ ЗАКРЕПЛЕНИЕ</x:v>
      </x:c>
      <x:c r="I26" s="106" t="str">
        <x:v>Гармаев М.Н.
Водитель самосвала
бригада №1
ПРОВЕРИТЬ ЗАКРЕПЛЕНИЕ</x:v>
      </x:c>
      <x:c r="J26" s="106" t="str">
        <x:v>Девяшин В.С.
Водитель самосвала
бригада №2
ПРОВЕРИТЬ ЗАКРЕПЛЕНИЕ</x:v>
      </x:c>
      <x:c r="K26" s="108" t="str">
        <x:v>Даты + закрепления</x:v>
      </x:c>
      <x:c r="L26" s="115" t="str">
        <x:v>3 закрепл. подтвердить; 3 особый график — нужны даты</x:v>
      </x:c>
    </x:row>
    <x:row r="27" ht="64" customHeight="1">
      <x:c r="A27" s="82" t="str">
        <x:v>КИС 5</x:v>
      </x:c>
      <x:c r="B27" s="82" t="str">
        <x:v>23</x:v>
      </x:c>
      <x:c r="C27" s="81" t="str">
        <x:v>Женская комната</x:v>
      </x:c>
      <x:c r="D27" s="82" t="str">
        <x:v>Особый — по датам</x:v>
      </x:c>
      <x:c r="E27" s="103" t="str">
        <x:v>Резванова М.А.
Женская комната — совместимая должность
бригада №1</x:v>
      </x:c>
      <x:c r="F27" s="86" t="str">
        <x:v>ОСОБЫЙ ГРАФИК
нужны даты</x:v>
      </x:c>
      <x:c r="G27" s="103" t="str">
        <x:v>Мухина И.Е.
Женская комната — совместимая должность
бригада №1</x:v>
      </x:c>
      <x:c r="H27" s="103" t="str">
        <x:v>Хусаинова М.Х.
Женская комната — совместимая должность
бригада №1</x:v>
      </x:c>
      <x:c r="I27" s="103" t="str">
        <x:v>Жеребцова В.Д.
Женская комната — совместимая должность
бригада №1</x:v>
      </x:c>
      <x:c r="J27" s="109" t="str">
        <x:v>Женская комната — совместимая должность
ВАКАНСИЯ
место сохраняется</x:v>
      </x:c>
      <x:c r="K27" s="104" t="str">
        <x:v>Проверить даты</x:v>
      </x:c>
      <x:c r="L27" s="115" t="str">
        <x:v>1 особый график — нужны даты</x:v>
      </x:c>
    </x:row>
    <x:row r="28" ht="64" customHeight="1">
      <x:c r="A28" s="82" t="str">
        <x:v>КИС 5</x:v>
      </x:c>
      <x:c r="B28" s="82" t="str">
        <x:v>24</x:v>
      </x:c>
      <x:c r="C28" s="81" t="str">
        <x:v>Женская комната</x:v>
      </x:c>
      <x:c r="D28" s="82" t="str">
        <x:v>По графикам должностей</x:v>
      </x:c>
      <x:c r="E28" s="103" t="str">
        <x:v>Щербакова М.В.
Женская комната — совместимая должность
бригада №1</x:v>
      </x:c>
      <x:c r="F28" s="103" t="str">
        <x:v>Семенец А.С.
Женская комната — совместимая должность
бригада №1</x:v>
      </x:c>
      <x:c r="G28" s="103" t="str">
        <x:v>Рогова И.А.
Женская комната — совместимая должность
бригада №2</x:v>
      </x:c>
      <x:c r="H28" s="103" t="str">
        <x:v>Качкова Т.С.
Женская комната — совместимая должность
бригада №1</x:v>
      </x:c>
      <x:c r="I28" s="103" t="str">
        <x:v>Ковалева О.С.
Женская комната — совместимая должность
бригада №1</x:v>
      </x:c>
      <x:c r="J28" s="103" t="str">
        <x:v>Конькова М.А.
Женская комната — совместимая должность
бригада №1</x:v>
      </x:c>
      <x:c r="K28" s="107" t="str">
        <x:v>Структурно допустимо</x:v>
      </x:c>
      <x:c r="L28" s="115" t="str"/>
    </x:row>
    <x:row r="29" ht="64" customHeight="1">
      <x:c r="A29" s="82" t="str">
        <x:v>КИС 5</x:v>
      </x:c>
      <x:c r="B29" s="82" t="str">
        <x:v>25</x:v>
      </x:c>
      <x:c r="C29" s="81" t="str">
        <x:v>Инженерно-учётная группа</x:v>
      </x:c>
      <x:c r="D29" s="82" t="str">
        <x:v>По графикам должностей</x:v>
      </x:c>
      <x:c r="E29" s="106" t="str">
        <x:v>Борщ А.С.
Машинист экскаватора
бригада №1
ПРОВЕРИТЬ ЗАКРЕПЛЕНИЕ</x:v>
      </x:c>
      <x:c r="F29" s="103" t="str">
        <x:v>Чемерица С.В.
Инженер по ТОиР
бригада №1</x:v>
      </x:c>
      <x:c r="G29" s="103" t="str">
        <x:v>Путилин А.С.
Кладовщик
бригада №1</x:v>
      </x:c>
      <x:c r="H29" s="106" t="str">
        <x:v>Тайшихин И.И.
Машинист экскаватора
бригада №1
ПРОВЕРИТЬ ЗАКРЕПЛЕНИЕ</x:v>
      </x:c>
      <x:c r="I29" s="106" t="str">
        <x:v>Любашенко Е.Л.
Водитель легкового автомобиля
бригада №1
ПРОВЕРИТЬ ЗАКРЕПЛЕНИЕ</x:v>
      </x:c>
      <x:c r="J29" s="106" t="str">
        <x:v>Тюнин С.А.
Водитель самосвала
бригада №1
ПРОВЕРИТЬ ЗАКРЕПЛЕНИЕ</x:v>
      </x:c>
      <x:c r="K29" s="104" t="str">
        <x:v>Проверить закрепления</x:v>
      </x:c>
      <x:c r="L29" s="115" t="str">
        <x:v>4 закрепл. подтвердить</x:v>
      </x:c>
    </x:row>
    <x:row r="30" ht="64" customHeight="1">
      <x:c r="A30" s="82" t="str">
        <x:v>КИС 5</x:v>
      </x:c>
      <x:c r="B30" s="82" t="str">
        <x:v>26</x:v>
      </x:c>
      <x:c r="C30" s="81" t="str">
        <x:v>Механическая служба и ИТР</x:v>
      </x:c>
      <x:c r="D30" s="82" t="str">
        <x:v>По графикам должностей</x:v>
      </x:c>
      <x:c r="E30" s="103" t="str">
        <x:v>Красавин В.И.
Механик по техническому обслуживанию
бригада №1</x:v>
      </x:c>
      <x:c r="F30" s="103" t="str">
        <x:v>Муранский И.Н.
Старший механик
бригада №1</x:v>
      </x:c>
      <x:c r="G30" s="103" t="str">
        <x:v>Пожидаев А.А.
Механик по ремонту вспомогательной те…
бригада №1</x:v>
      </x:c>
      <x:c r="H30" s="103" t="str">
        <x:v>Служенко В.А.
Механик по выпуску и ремонту горно-тр…
бригада №2</x:v>
      </x:c>
      <x:c r="I30" s="103" t="str">
        <x:v>Хамитов Х.С.
Механик по ремонту технологических са…
бригада №1</x:v>
      </x:c>
      <x:c r="J30" s="103" t="str">
        <x:v>Юскаев П.С.
Механик по ремонту экскаваторов
бригада №1</x:v>
      </x:c>
      <x:c r="K30" s="107" t="str">
        <x:v>Структурно допустимо</x:v>
      </x:c>
      <x:c r="L30" s="115" t="str"/>
    </x:row>
    <x:row r="31" ht="64" customHeight="1">
      <x:c r="A31" s="82" t="str">
        <x:v>КИС 5</x:v>
      </x:c>
      <x:c r="B31" s="82" t="str">
        <x:v>27</x:v>
      </x:c>
      <x:c r="C31" s="81" t="str">
        <x:v>Оперативное руководство и диспетчерская группа</x:v>
      </x:c>
      <x:c r="D31" s="82" t="str">
        <x:v>По графикам должностей</x:v>
      </x:c>
      <x:c r="E31" s="103" t="str">
        <x:v>Жуков С.О.
Горный мастер
бригада №2</x:v>
      </x:c>
      <x:c r="F31" s="103" t="str">
        <x:v>Хайруллин Р.Ф.
Горный мастер
бригада №1</x:v>
      </x:c>
      <x:c r="G31" s="103" t="str">
        <x:v>Шамсутдинов И.Г.
Диспетчер ГТО
бригада №2</x:v>
      </x:c>
      <x:c r="H31" s="106" t="str">
        <x:v>Шмаль И.К.
Водитель самосвала
бригада №1
ПРОВЕРИТЬ ЗАКРЕПЛЕНИЕ</x:v>
      </x:c>
      <x:c r="I31" s="106" t="str">
        <x:v>Калинин А.В.
Водитель самосвала
бригада №1
ПРОВЕРИТЬ ЗАКРЕПЛЕНИЕ</x:v>
      </x:c>
      <x:c r="J31" s="106" t="str">
        <x:v>Шишкин Д.Д.
Водитель самосвала
бригада №1
ПРОВЕРИТЬ ЗАКРЕПЛЕНИЕ</x:v>
      </x:c>
      <x:c r="K31" s="104" t="str">
        <x:v>Проверить закрепления</x:v>
      </x:c>
      <x:c r="L31" s="115" t="str">
        <x:v>3 закрепл. подтвердить</x:v>
      </x:c>
    </x:row>
    <x:row r="32" ht="64" customHeight="1">
      <x:c r="A32" s="82" t="str">
        <x:v>КИС 5</x:v>
      </x:c>
      <x:c r="B32" s="82" t="str">
        <x:v>28</x:v>
      </x:c>
      <x:c r="C32" s="81" t="str">
        <x:v>Особые графики и совместимые должности</x:v>
      </x:c>
      <x:c r="D32" s="82" t="str">
        <x:v>Особый — по датам</x:v>
      </x:c>
      <x:c r="E32" s="103" t="str">
        <x:v>Инсапов У.В.
ОТ/ПБ/БДД и Совместимый ИТР
бригада №1</x:v>
      </x:c>
      <x:c r="F32" s="109" t="str">
        <x:v>Совместимый ИТР
ВАКАНСИЯ
место сохраняется</x:v>
      </x:c>
      <x:c r="G32" s="103" t="str">
        <x:v>Пархоменко Д.А.
ОТ/ПБ/БДД и Совместимый ИТР
бригада №1</x:v>
      </x:c>
      <x:c r="H32" s="103" t="str">
        <x:v>Рябчинский С.П.
ОТ/ПБ/БДД и Совместимый ИТР
бригада №1</x:v>
      </x:c>
      <x:c r="I32" s="106" t="str">
        <x:v>Сергеев В.В.
ОТ/ПБ/БДД и Совместимый ИТР
бригада №2
ПРОВЕРИТЬ ЗАКРЕПЛЕНИЕ</x:v>
      </x:c>
      <x:c r="J32" s="86" t="str">
        <x:v>ОСОБЫЙ ГРАФИК
нужны даты</x:v>
      </x:c>
      <x:c r="K32" s="108" t="str">
        <x:v>Даты + закрепления</x:v>
      </x:c>
      <x:c r="L32" s="115" t="str">
        <x:v>1 закрепл. подтвердить; 1 особый график — нужны даты</x:v>
      </x:c>
    </x:row>
    <x:row r="33" ht="64" customHeight="1">
      <x:c r="A33" s="82" t="str">
        <x:v>КИС 5</x:v>
      </x:c>
      <x:c r="B33" s="82" t="str">
        <x:v>36</x:v>
      </x:c>
      <x:c r="C33" s="81" t="str">
        <x:v>Руководители совместимого уровня</x:v>
      </x:c>
      <x:c r="D33" s="82" t="str">
        <x:v>По графикам должностей</x:v>
      </x:c>
      <x:c r="E33" s="103" t="str">
        <x:v>Большешапов А.Б.
руководящая должность сопоставимого у…
бригада №1</x:v>
      </x:c>
      <x:c r="F33" s="111" t="str">
        <x:v>КОЙКИ НЕТ</x:v>
      </x:c>
      <x:c r="G33" s="111" t="str">
        <x:v>КОЙКИ НЕТ</x:v>
      </x:c>
      <x:c r="H33" s="111" t="str">
        <x:v>КОЙКИ НЕТ</x:v>
      </x:c>
      <x:c r="I33" s="106" t="str">
        <x:v>Шишкин Д.Н.
руководящая должность сопоставимого у…
бригада №1
ПРОВЕРИТЬ ЗАКРЕПЛЕНИЕ</x:v>
      </x:c>
      <x:c r="J33" s="111" t="str">
        <x:v>КОЙКИ НЕТ</x:v>
      </x:c>
      <x:c r="K33" s="107" t="str">
        <x:v>Защищено</x:v>
      </x:c>
      <x:c r="L33" s="115" t="str">
        <x:v>1 закрепл. подтвердить</x:v>
      </x:c>
    </x:row>
    <x:row r="34" ht="64" customHeight="1">
      <x:c r="A34" s="82" t="str">
        <x:v>КИС 5</x:v>
      </x:c>
      <x:c r="B34" s="82" t="str">
        <x:v>37</x:v>
      </x:c>
      <x:c r="C34" s="81" t="str">
        <x:v>Руководители совместимого уровня</x:v>
      </x:c>
      <x:c r="D34" s="82" t="str">
        <x:v>По графикам должностей</x:v>
      </x:c>
      <x:c r="E34" s="103" t="str">
        <x:v>Деушев М.С.
руководящая должность сопоставимого у…
бригада №1</x:v>
      </x:c>
      <x:c r="F34" s="111" t="str">
        <x:v>КОЙКИ НЕТ</x:v>
      </x:c>
      <x:c r="G34" s="111" t="str">
        <x:v>КОЙКИ НЕТ</x:v>
      </x:c>
      <x:c r="H34" s="111" t="str">
        <x:v>КОЙКИ НЕТ</x:v>
      </x:c>
      <x:c r="I34" s="103" t="str">
        <x:v>Пинегин И.В.
руководящая должность сопоставимого у…
бригада №1</x:v>
      </x:c>
      <x:c r="J34" s="111" t="str">
        <x:v>КОЙКИ НЕТ</x:v>
      </x:c>
      <x:c r="K34" s="107" t="str">
        <x:v>Защищено</x:v>
      </x:c>
      <x:c r="L34" s="115" t="str"/>
    </x:row>
    <x:row r="35" ht="64" customHeight="1">
      <x:c r="A35" s="85" t="str">
        <x:v>КИС 5</x:v>
      </x:c>
      <x:c r="B35" s="85" t="str">
        <x:v>38</x:v>
      </x:c>
      <x:c r="C35" s="86" t="str">
        <x:v>Командировки высшего руководства</x:v>
      </x:c>
      <x:c r="D35" s="85" t="str">
        <x:v>По графикам должностей</x:v>
      </x:c>
      <x:c r="E35" s="86" t="str">
        <x:v>РЕЗЕРВ КОМАНДИРОВОК
постоянно не заселять</x:v>
      </x:c>
      <x:c r="F35" s="112" t="str">
        <x:v>КОЙКИ НЕТ</x:v>
      </x:c>
      <x:c r="G35" s="112" t="str">
        <x:v>КОЙКИ НЕТ</x:v>
      </x:c>
      <x:c r="H35" s="112" t="str">
        <x:v>КОЙКИ НЕТ</x:v>
      </x:c>
      <x:c r="I35" s="86" t="str">
        <x:v>РЕЗЕРВ КОМАНДИРОВОК
постоянно не заселять</x:v>
      </x:c>
      <x:c r="J35" s="112" t="str">
        <x:v>КОЙКИ НЕТ</x:v>
      </x:c>
      <x:c r="K35" s="108" t="str">
        <x:v>Защищено</x:v>
      </x:c>
      <x:c r="L35" s="115" t="str"/>
    </x:row>
    <x:row r="36" ht="64" customHeight="1">
      <x:c r="A36" s="82" t="str">
        <x:v>КИС 6</x:v>
      </x:c>
      <x:c r="B36" s="82" t="str">
        <x:v>01</x:v>
      </x:c>
      <x:c r="C36" s="81" t="str">
        <x:v>Техника: ПРМ №035, Автокран №239, КАМАЗ с КМУ №185</x:v>
      </x:c>
      <x:c r="D36" s="82" t="str">
        <x:v>По графикам должностей</x:v>
      </x:c>
      <x:c r="E36" s="106" t="str">
        <x:v>Никонов С.А.
ПРМ №035
бригада №2
ПРОВЕРИТЬ ЗАКРЕПЛЕНИЕ</x:v>
      </x:c>
      <x:c r="F36" s="106" t="str">
        <x:v>Морозов Т.С.
Автокран №239
бригада №1
ПРОВЕРИТЬ ЗАКРЕПЛЕНИЕ</x:v>
      </x:c>
      <x:c r="G36" s="106" t="str">
        <x:v>Пастухов П.В.
КАМАЗ с КМУ №185
бригада №2
ПРОВЕРИТЬ ЗАКРЕПЛЕНИЕ</x:v>
      </x:c>
      <x:c r="H36" s="106" t="str">
        <x:v>Согришин Ю.И.
ПРМ №035
бригада №1
ПРОВЕРИТЬ ЗАКРЕПЛЕНИЕ</x:v>
      </x:c>
      <x:c r="I36" s="106" t="str">
        <x:v>Зайдуллин Г.М.
Автокран №239
бригада №1
ПРОВЕРИТЬ ЗАКРЕПЛЕНИЕ</x:v>
      </x:c>
      <x:c r="J36" s="106" t="str">
        <x:v>Голеров Д.И.
КАМАЗ с КМУ №185
бригада №1
ПРОВЕРИТЬ ЗАКРЕПЛЕНИЕ</x:v>
      </x:c>
      <x:c r="K36" s="104" t="str">
        <x:v>Проверить закрепления</x:v>
      </x:c>
      <x:c r="L36" s="115" t="str">
        <x:v>6 закрепл. подтвердить</x:v>
      </x:c>
    </x:row>
    <x:row r="37" ht="64" customHeight="1">
      <x:c r="A37" s="82" t="str">
        <x:v>КИС 6</x:v>
      </x:c>
      <x:c r="B37" s="82" t="str">
        <x:v>02</x:v>
      </x:c>
      <x:c r="C37" s="81" t="str">
        <x:v>Техника: Вахтовый автобус №007, Вахтовый автобус №103, Вахтовый автобус №149</x:v>
      </x:c>
      <x:c r="D37" s="82" t="str">
        <x:v>По графикам должностей</x:v>
      </x:c>
      <x:c r="E37" s="106" t="str">
        <x:v>Буслов А.А.
Вахтовый автобус №007
бригада №1
ПРОВЕРИТЬ ЗАКРЕПЛЕНИЕ</x:v>
      </x:c>
      <x:c r="F37" s="106" t="str">
        <x:v>Мельников А.А.
Вахтовый автобус №103
бригада №2
ПРОВЕРИТЬ ЗАКРЕПЛЕНИЕ</x:v>
      </x:c>
      <x:c r="G37" s="106" t="str">
        <x:v>Литвиненко К.А.
Вахтовый автобус №149
бригада №2
ПРОВЕРИТЬ ЗАКРЕПЛЕНИЕ</x:v>
      </x:c>
      <x:c r="H37" s="106" t="str">
        <x:v>Демидков А.В.
Вахтовый автобус №007
бригада №2
ПРОВЕРИТЬ ЗАКРЕПЛЕНИЕ</x:v>
      </x:c>
      <x:c r="I37" s="106" t="str">
        <x:v>Кудеев В.А.
Вахтовый автобус №103
бригада №1
ПРОВЕРИТЬ ЗАКРЕПЛЕНИЕ</x:v>
      </x:c>
      <x:c r="J37" s="106" t="str">
        <x:v>Горбацкий Г.И.
Вахтовый автобус №149
бригада №1
ПРОВЕРИТЬ ЗАКРЕПЛЕНИЕ</x:v>
      </x:c>
      <x:c r="K37" s="104" t="str">
        <x:v>Проверить закрепления</x:v>
      </x:c>
      <x:c r="L37" s="115" t="str">
        <x:v>6 закрепл. подтвердить</x:v>
      </x:c>
    </x:row>
    <x:row r="38" ht="64" customHeight="1">
      <x:c r="A38" s="82" t="str">
        <x:v>КИС 6</x:v>
      </x:c>
      <x:c r="B38" s="82" t="str">
        <x:v>03</x:v>
      </x:c>
      <x:c r="C38" s="81" t="str">
        <x:v>Техника: Топливозаправщик №194, Топливозаправщик №222, Топливозаправщик №286</x:v>
      </x:c>
      <x:c r="D38" s="82" t="str">
        <x:v>По графикам должностей</x:v>
      </x:c>
      <x:c r="E38" s="106" t="str">
        <x:v>Яблоков В.В.
Топливозаправщик №194
бригада №1
ПРОВЕРИТЬ ЗАКРЕПЛЕНИЕ</x:v>
      </x:c>
      <x:c r="F38" s="114" t="str">
        <x:v>Мощенко А.В.
Временно занимает место Топливозаправ…
бригада №2
ВРЕМЕННОЕ МЕСТО</x:v>
      </x:c>
      <x:c r="G38" s="106" t="str">
        <x:v>Подгорный А.А.
Топливозаправщик №286
бригада №1
ПРОВЕРИТЬ ЗАКРЕПЛЕНИЕ</x:v>
      </x:c>
      <x:c r="H38" s="114" t="str">
        <x:v>Петушко Д.Ю.
Временно занимает место Топливозаправ…
бригада №1
ВРЕМЕННОЕ МЕСТО</x:v>
      </x:c>
      <x:c r="I38" s="114" t="str">
        <x:v>Хлопков А.С.
Временно занимает место Топливозаправ…
бригада №1
ВРЕМЕННОЕ МЕСТО</x:v>
      </x:c>
      <x:c r="J38" s="114" t="str">
        <x:v>Волченков Н.С.
Временно занимает место Топливозаправ…
бригада №1
ВРЕМЕННОЕ МЕСТО</x:v>
      </x:c>
      <x:c r="K38" s="104" t="str">
        <x:v>Проверить закрепления</x:v>
      </x:c>
      <x:c r="L38" s="115" t="str">
        <x:v>2 закрепл. подтвердить; 4 временное место</x:v>
      </x:c>
    </x:row>
    <x:row r="39" ht="64" customHeight="1">
      <x:c r="A39" s="82" t="str">
        <x:v>КИС 6</x:v>
      </x:c>
      <x:c r="B39" s="82" t="str">
        <x:v>05</x:v>
      </x:c>
      <x:c r="C39" s="81" t="str">
        <x:v>Техника: КДМ №003, КДМ №055, КДМ №061</x:v>
      </x:c>
      <x:c r="D39" s="82" t="str">
        <x:v>По графикам должностей</x:v>
      </x:c>
      <x:c r="E39" s="109" t="str">
        <x:v>КДМ №003
ВАКАНСИЯ
место сохраняется</x:v>
      </x:c>
      <x:c r="F39" s="106" t="str">
        <x:v>Кубанцев Е.М.
КДМ №055
бригада №2
ПРОВЕРИТЬ ЗАКРЕПЛЕНИЕ</x:v>
      </x:c>
      <x:c r="G39" s="106" t="str">
        <x:v>Агулов И.Д.
КДМ №061
бригада №2
ПРОВЕРИТЬ ЗАКРЕПЛЕНИЕ</x:v>
      </x:c>
      <x:c r="H39" s="109" t="str">
        <x:v>КДМ №003
ВАКАНСИЯ
место сохраняется</x:v>
      </x:c>
      <x:c r="I39" s="106" t="str">
        <x:v>Хохлачёв В.А.
КДМ №055
бригада №2
ПРОВЕРИТЬ ЗАКРЕПЛЕНИЕ</x:v>
      </x:c>
      <x:c r="J39" s="109" t="str">
        <x:v>КДМ №061
ВАКАНСИЯ
место сохраняется</x:v>
      </x:c>
      <x:c r="K39" s="104" t="str">
        <x:v>Проверить закрепления</x:v>
      </x:c>
      <x:c r="L39" s="115" t="str">
        <x:v>3 закрепл. подтвердить</x:v>
      </x:c>
    </x:row>
    <x:row r="40" ht="64" customHeight="1">
      <x:c r="A40" s="82" t="str">
        <x:v>КИС 6</x:v>
      </x:c>
      <x:c r="B40" s="82" t="str">
        <x:v>06</x:v>
      </x:c>
      <x:c r="C40" s="81" t="str">
        <x:v>Техника: КДМ №207, Экскаватор №1, Экскаватор №2</x:v>
      </x:c>
      <x:c r="D40" s="82" t="str">
        <x:v>По графикам должностей</x:v>
      </x:c>
      <x:c r="E40" s="106" t="str">
        <x:v>Чернышев А.А.
КДМ №207
бригада №1
ПРОВЕРИТЬ ЗАКРЕПЛЕНИЕ</x:v>
      </x:c>
      <x:c r="F40" s="106" t="str">
        <x:v>Котенёв А.Н.
Экскаватор №1
бригада №2
ПРОВЕРИТЬ ЗАКРЕПЛЕНИЕ</x:v>
      </x:c>
      <x:c r="G40" s="106" t="str">
        <x:v>Радченко А.В.
Экскаватор №2
бригада №1
ПРОВЕРИТЬ ЗАКРЕПЛЕНИЕ</x:v>
      </x:c>
      <x:c r="H40" s="106" t="str">
        <x:v>Романов А.Н.
КДМ №207
бригада №2
ПРОВЕРИТЬ ЗАКРЕПЛЕНИЕ</x:v>
      </x:c>
      <x:c r="I40" s="106" t="str">
        <x:v>Сафронов О.В.
Экскаватор №1
бригада №1
ПРОВЕРИТЬ ЗАКРЕПЛЕНИЕ</x:v>
      </x:c>
      <x:c r="J40" s="106" t="str">
        <x:v>Сахаровский Д.Н.
Экскаватор №2
бригада №1
ПРОВЕРИТЬ ЗАКРЕПЛЕНИЕ</x:v>
      </x:c>
      <x:c r="K40" s="104" t="str">
        <x:v>Проверить закрепления</x:v>
      </x:c>
      <x:c r="L40" s="115" t="str">
        <x:v>6 закрепл. подтвердить</x:v>
      </x:c>
    </x:row>
    <x:row r="41" ht="64" customHeight="1">
      <x:c r="A41" s="82" t="str">
        <x:v>КИС 6</x:v>
      </x:c>
      <x:c r="B41" s="82" t="str">
        <x:v>08</x:v>
      </x:c>
      <x:c r="C41" s="81" t="str">
        <x:v>Техника: Экскаватор №3, Экскаватор №4, Экскаватор №5</x:v>
      </x:c>
      <x:c r="D41" s="82" t="str">
        <x:v>По графикам должностей</x:v>
      </x:c>
      <x:c r="E41" s="106" t="str">
        <x:v>Кайдаулов А.В.
Экскаватор №3
бригада №1
ПРОВЕРИТЬ ЗАКРЕПЛЕНИЕ</x:v>
      </x:c>
      <x:c r="F41" s="106" t="str">
        <x:v>Реут Д.А.
Экскаватор №4
бригада №2
ПРОВЕРИТЬ ЗАКРЕПЛЕНИЕ</x:v>
      </x:c>
      <x:c r="G41" s="106" t="str">
        <x:v>Кунденок Р.В.
Экскаватор №5
бригада №2
ПРОВЕРИТЬ ЗАКРЕПЛЕНИЕ</x:v>
      </x:c>
      <x:c r="H41" s="106" t="str">
        <x:v>Малько А.В.
Экскаватор №3
бригада №1
ПРОВЕРИТЬ ЗАКРЕПЛЕНИЕ</x:v>
      </x:c>
      <x:c r="I41" s="106" t="str">
        <x:v>Сахаров А.П.
Экскаватор №4
бригада №1
ПРОВЕРИТЬ ЗАКРЕПЛЕНИЕ</x:v>
      </x:c>
      <x:c r="J41" s="106" t="str">
        <x:v>Осипов А.М.
Экскаватор №5
бригада №1
ПРОВЕРИТЬ ЗАКРЕПЛЕНИЕ</x:v>
      </x:c>
      <x:c r="K41" s="104" t="str">
        <x:v>Проверить закрепления</x:v>
      </x:c>
      <x:c r="L41" s="115" t="str">
        <x:v>6 закрепл. подтвердить</x:v>
      </x:c>
    </x:row>
    <x:row r="42" ht="64" customHeight="1">
      <x:c r="A42" s="82" t="str">
        <x:v>КИС 6</x:v>
      </x:c>
      <x:c r="B42" s="82" t="str">
        <x:v>09</x:v>
      </x:c>
      <x:c r="C42" s="81" t="str">
        <x:v>Техника: Экскаватор №6, Экскаватор №7, Экскаватор №8</x:v>
      </x:c>
      <x:c r="D42" s="82" t="str">
        <x:v>По графикам должностей</x:v>
      </x:c>
      <x:c r="E42" s="106" t="str">
        <x:v>Процюк А.А.
Экскаватор №6
бригада №2
ПРОВЕРИТЬ ЗАКРЕПЛЕНИЕ</x:v>
      </x:c>
      <x:c r="F42" s="106" t="str">
        <x:v>Бармин А.Г.
Экскаватор №7
бригада №2
ПРОВЕРИТЬ ЗАКРЕПЛЕНИЕ</x:v>
      </x:c>
      <x:c r="G42" s="106" t="str">
        <x:v>Зайцев Ю.М.
Экскаватор №8
бригада №1
ПРОВЕРИТЬ ЗАКРЕПЛЕНИЕ</x:v>
      </x:c>
      <x:c r="H42" s="106" t="str">
        <x:v>Николаев К.С.
Экскаватор №6
бригада №1
ПРОВЕРИТЬ ЗАКРЕПЛЕНИЕ</x:v>
      </x:c>
      <x:c r="I42" s="106" t="str">
        <x:v>Шалаев И.Н.
Экскаватор №7
бригада №1
ПРОВЕРИТЬ ЗАКРЕПЛЕНИЕ</x:v>
      </x:c>
      <x:c r="J42" s="106" t="str">
        <x:v>Мельников С.А.
Экскаватор №8
бригада №2
ПРОВЕРИТЬ ЗАКРЕПЛЕНИЕ</x:v>
      </x:c>
      <x:c r="K42" s="104" t="str">
        <x:v>Проверить закрепления</x:v>
      </x:c>
      <x:c r="L42" s="115" t="str">
        <x:v>6 закрепл. подтвердить</x:v>
      </x:c>
    </x:row>
    <x:row r="43" ht="64" customHeight="1">
      <x:c r="A43" s="82" t="str">
        <x:v>КИС 6</x:v>
      </x:c>
      <x:c r="B43" s="82" t="str">
        <x:v>10</x:v>
      </x:c>
      <x:c r="C43" s="81" t="str">
        <x:v>Техника: Экскаватор-планировщик №835, Экскаватор-планировщик №836, Экскаватор-планировщик №821</x:v>
      </x:c>
      <x:c r="D43" s="82" t="str">
        <x:v>По графикам должностей</x:v>
      </x:c>
      <x:c r="E43" s="106" t="str">
        <x:v>Дисенов Ж.К.
Экскаватор-планировщик №835
бригада №2
ПРОВЕРИТЬ ЗАКРЕПЛЕНИЕ</x:v>
      </x:c>
      <x:c r="F43" s="106" t="str">
        <x:v>Некрасов Д.В.
Экскаватор-планировщик №836
бригада №2
ПРОВЕРИТЬ ЗАКРЕПЛЕНИЕ</x:v>
      </x:c>
      <x:c r="G43" s="106" t="str">
        <x:v>Тетенькин А.П.
Экскаватор-планировщик №821
бригада №2
ПРОВЕРИТЬ ЗАКРЕПЛЕНИЕ</x:v>
      </x:c>
      <x:c r="H43" s="106" t="str">
        <x:v>Бормотов Е.А.
Экскаватор-планировщик №835
бригада №1
ПРОВЕРИТЬ ЗАКРЕПЛЕНИЕ</x:v>
      </x:c>
      <x:c r="I43" s="106" t="str">
        <x:v>Рыжков М.Б.
Экскаватор-планировщик №836
бригада №2
ПРОВЕРИТЬ ЗАКРЕПЛЕНИЕ</x:v>
      </x:c>
      <x:c r="J43" s="106" t="str">
        <x:v>Сенотрусов А.С.
Экскаватор-планировщик №821
бригада №1
ПРОВЕРИТЬ ЗАКРЕПЛЕНИЕ</x:v>
      </x:c>
      <x:c r="K43" s="104" t="str">
        <x:v>Проверить закрепления</x:v>
      </x:c>
      <x:c r="L43" s="115" t="str">
        <x:v>6 закрепл. подтвердить</x:v>
      </x:c>
    </x:row>
    <x:row r="44" ht="64" customHeight="1">
      <x:c r="A44" s="82" t="str">
        <x:v>КИС 6</x:v>
      </x:c>
      <x:c r="B44" s="82" t="str">
        <x:v>11</x:v>
      </x:c>
      <x:c r="C44" s="81" t="str">
        <x:v>Техника: Экскаватор-планировщик №820, Гусеничный бульдозер №1, Гусеничный бульдозер №2</x:v>
      </x:c>
      <x:c r="D44" s="82" t="str">
        <x:v>По графикам должностей</x:v>
      </x:c>
      <x:c r="E44" s="106" t="str">
        <x:v>Авагян Н.М.
Экскаватор-планировщик №820
бригада №2
ПРОВЕРИТЬ ЗАКРЕПЛЕНИЕ</x:v>
      </x:c>
      <x:c r="F44" s="106" t="str">
        <x:v>Никулин Д.Л.
Гусеничный бульдозер №1
бригада №2
ПРОВЕРИТЬ ЗАКРЕПЛЕНИЕ</x:v>
      </x:c>
      <x:c r="G44" s="106" t="str">
        <x:v>Тельнов И.А.
Гусеничный бульдозер №2
бригада №1
ПРОВЕРИТЬ ЗАКРЕПЛЕНИЕ</x:v>
      </x:c>
      <x:c r="H44" s="106" t="str">
        <x:v>Халимов Н.Н.
Экскаватор-планировщик №820
бригада №1
ПРОВЕРИТЬ ЗАКРЕПЛЕНИЕ</x:v>
      </x:c>
      <x:c r="I44" s="106" t="str">
        <x:v>Смирнов В.В.
Гусеничный бульдозер №1
бригада №1
ПРОВЕРИТЬ ЗАКРЕПЛЕНИЕ</x:v>
      </x:c>
      <x:c r="J44" s="106" t="str">
        <x:v>Дурновцев А.Г.
Гусеничный бульдозер №2
бригада №2
ПРОВЕРИТЬ ЗАКРЕПЛЕНИЕ</x:v>
      </x:c>
      <x:c r="K44" s="104" t="str">
        <x:v>Проверить закрепления</x:v>
      </x:c>
      <x:c r="L44" s="115" t="str">
        <x:v>6 закрепл. подтвердить</x:v>
      </x:c>
    </x:row>
    <x:row r="45" ht="64" customHeight="1">
      <x:c r="A45" s="82" t="str">
        <x:v>КИС 6</x:v>
      </x:c>
      <x:c r="B45" s="82" t="str">
        <x:v>40</x:v>
      </x:c>
      <x:c r="C45" s="81" t="str">
        <x:v>Техника: Гусеничный бульдозер №3, Гусеничный бульдозер №4, Колёсный бульдозер №1</x:v>
      </x:c>
      <x:c r="D45" s="82" t="str">
        <x:v>По графикам должностей</x:v>
      </x:c>
      <x:c r="E45" s="106" t="str">
        <x:v>Юскаев П.С.
Гусеничный бульдозер №3
бригада №1
ПРОВЕРИТЬ ЗАКРЕПЛЕНИЕ</x:v>
      </x:c>
      <x:c r="F45" s="106" t="str">
        <x:v>Шинкарев П.В.
Гусеничный бульдозер №4
бригада №2
ПРОВЕРИТЬ ЗАКРЕПЛЕНИЕ</x:v>
      </x:c>
      <x:c r="G45" s="106" t="str">
        <x:v>Шпиньков А.В.
Колёсный бульдозер №1
бригада №2
ПРОВЕРИТЬ ЗАКРЕПЛЕНИЕ</x:v>
      </x:c>
      <x:c r="H45" s="106" t="str">
        <x:v>Новосёлов И.А.
Гусеничный бульдозер №3
бригада №2
ПРОВЕРИТЬ ЗАКРЕПЛЕНИЕ</x:v>
      </x:c>
      <x:c r="I45" s="106" t="str">
        <x:v>Бахвалов С.В.
Гусеничный бульдозер №4
бригада №1
ПРОВЕРИТЬ ЗАКРЕПЛЕНИЕ</x:v>
      </x:c>
      <x:c r="J45" s="106" t="str">
        <x:v>Шпиньков А.Н.
Колёсный бульдозер №1
бригада №1
ПРОВЕРИТЬ ЗАКРЕПЛЕНИЕ</x:v>
      </x:c>
      <x:c r="K45" s="104" t="str">
        <x:v>Проверить закрепления</x:v>
      </x:c>
      <x:c r="L45" s="115" t="str">
        <x:v>6 закрепл. подтвердить</x:v>
      </x:c>
    </x:row>
    <x:row r="46" ht="64" customHeight="1">
      <x:c r="A46" s="82" t="str">
        <x:v>КИС 6</x:v>
      </x:c>
      <x:c r="B46" s="82" t="str">
        <x:v>41</x:v>
      </x:c>
      <x:c r="C46" s="81" t="str">
        <x:v>Техника: Колёсный бульдозер №2, Вилочный погрузчик №8840ХА27, Фронтальный погрузчик №8823</x:v>
      </x:c>
      <x:c r="D46" s="82" t="str">
        <x:v>По графикам должностей</x:v>
      </x:c>
      <x:c r="E46" s="106" t="str">
        <x:v>Приходько С.В.
Колёсный бульдозер №2
бригада №1
ПРОВЕРИТЬ ЗАКРЕПЛЕНИЕ</x:v>
      </x:c>
      <x:c r="F46" s="106" t="str">
        <x:v>Беляев И.И.
Вилочный погрузчик №8840ХА27
бригада №2
ПРОВЕРИТЬ ЗАКРЕПЛЕНИЕ</x:v>
      </x:c>
      <x:c r="G46" s="106" t="str">
        <x:v>Осипов Н.В.
Фронтальный погрузчик №8823
бригада №1
ПРОВЕРИТЬ ЗАКРЕПЛЕНИЕ</x:v>
      </x:c>
      <x:c r="H46" s="106" t="str">
        <x:v>Лесников Н.Н.
Колёсный бульдозер №2
бригада №2
ПРОВЕРИТЬ ЗАКРЕПЛЕНИЕ</x:v>
      </x:c>
      <x:c r="I46" s="106" t="str">
        <x:v>Ударцев Д.С.
Вилочный погрузчик №8840ХА27
бригада №1
ПРОВЕРИТЬ ЗАКРЕПЛЕНИЕ</x:v>
      </x:c>
      <x:c r="J46" s="106" t="str">
        <x:v>Алексеев А.М.
Фронтальный погрузчик №8823
бригада №1
ПРОВЕРИТЬ ЗАКРЕПЛЕНИЕ</x:v>
      </x:c>
      <x:c r="K46" s="104" t="str">
        <x:v>Проверить закрепления</x:v>
      </x:c>
      <x:c r="L46" s="115" t="str">
        <x:v>6 закрепл. подтвердить</x:v>
      </x:c>
    </x:row>
    <x:row r="47" ht="64" customHeight="1">
      <x:c r="A47" s="82" t="str">
        <x:v>КИС 6</x:v>
      </x:c>
      <x:c r="B47" s="82" t="str">
        <x:v>42</x:v>
      </x:c>
      <x:c r="C47" s="81" t="str">
        <x:v>Техника: Телескопический погрузчик №8837, Телескопический погрузчик №8838, Автогрейдер №1</x:v>
      </x:c>
      <x:c r="D47" s="82" t="str">
        <x:v>По графикам должностей</x:v>
      </x:c>
      <x:c r="E47" s="106" t="str">
        <x:v>Лошкарев Р.В.
Телескопический погрузчик №8837
бригада №1
ПРОВЕРИТЬ ЗАКРЕПЛЕНИЕ</x:v>
      </x:c>
      <x:c r="F47" s="109" t="str">
        <x:v>Телескопический погрузчик №8838
ВАКАНСИЯ
место сохраняется</x:v>
      </x:c>
      <x:c r="G47" s="106" t="str">
        <x:v>Корчевный С.П.
Автогрейдер №1
бригада №2
ПРОВЕРИТЬ ЗАКРЕПЛЕНИЕ</x:v>
      </x:c>
      <x:c r="H47" s="109" t="str">
        <x:v>Телескопический погрузчик №8837
ВАКАНСИЯ
место сохраняется</x:v>
      </x:c>
      <x:c r="I47" s="109" t="str">
        <x:v>Телескопический погрузчик №8838
ВАКАНСИЯ
место сохраняется</x:v>
      </x:c>
      <x:c r="J47" s="106" t="str">
        <x:v>Карнаухов А.А.
Автогрейдер №1
бригада №1
ПРОВЕРИТЬ ЗАКРЕПЛЕНИЕ</x:v>
      </x:c>
      <x:c r="K47" s="104" t="str">
        <x:v>Проверить закрепления</x:v>
      </x:c>
      <x:c r="L47" s="115" t="str">
        <x:v>3 закрепл. подтвердить</x:v>
      </x:c>
    </x:row>
    <x:row r="48" ht="64" customHeight="1">
      <x:c r="A48" s="82" t="str">
        <x:v>КИС 6</x:v>
      </x:c>
      <x:c r="B48" s="82" t="str">
        <x:v>43</x:v>
      </x:c>
      <x:c r="C48" s="81" t="str">
        <x:v>Техника: Автогрейдер №2, Каток №8184ХА27; Водитель автомобиля, занятый на транспортировании горной массы в технологическом процессе</x:v>
      </x:c>
      <x:c r="D48" s="82" t="str">
        <x:v>По графикам должностей</x:v>
      </x:c>
      <x:c r="E48" s="106" t="str">
        <x:v>Климов И.В.
Автогрейдер №2
бригада №1
ПРОВЕРИТЬ ЗАКРЕПЛЕНИЕ</x:v>
      </x:c>
      <x:c r="F48" s="109" t="str">
        <x:v>Каток №8184ХА27
ВАКАНСИЯ
место сохраняется</x:v>
      </x:c>
      <x:c r="G48" s="106" t="str">
        <x:v>Зиангиров А.З.
Водитель самосвала
бригада №1
ПРОВЕРИТЬ ЗАКРЕПЛЕНИЕ</x:v>
      </x:c>
      <x:c r="H48" s="106" t="str">
        <x:v>Репин С.А.
Автогрейдер №2
бригада №2
ПРОВЕРИТЬ ЗАКРЕПЛЕНИЕ</x:v>
      </x:c>
      <x:c r="I48" s="109" t="str">
        <x:v>Каток №8184ХА27
ВАКАНСИЯ
место сохраняется</x:v>
      </x:c>
      <x:c r="J48" s="106" t="str">
        <x:v>Медведев С.Н.
Водитель самосвала
бригада №2
ПРОВЕРИТЬ ЗАКРЕПЛЕНИЕ</x:v>
      </x:c>
      <x:c r="K48" s="104" t="str">
        <x:v>Проверить закрепления</x:v>
      </x:c>
      <x:c r="L48" s="115" t="str">
        <x:v>4 закрепл. подтвердить</x:v>
      </x:c>
    </x:row>
    <x:row r="49" ht="64" customHeight="1">
      <x:c r="A49" s="82" t="str">
        <x:v>КИС 6</x:v>
      </x:c>
      <x:c r="B49" s="82" t="str">
        <x:v>44</x:v>
      </x:c>
      <x:c r="C49" s="81" t="str">
        <x:v>Водители легкового транспорта — единая группа</x:v>
      </x:c>
      <x:c r="D49" s="82" t="str">
        <x:v>Особый — по датам</x:v>
      </x:c>
      <x:c r="E49" s="103" t="str">
        <x:v>Дубков М.А.
Водители легкового транспорта — едина…
бригада №1</x:v>
      </x:c>
      <x:c r="F49" s="103" t="str">
        <x:v>Горбунов А.В.
Водители легкового транспорта — едина…
бригада №2</x:v>
      </x:c>
      <x:c r="G49" s="103" t="str">
        <x:v>Ольховой Д.А.
Водители легкового транспорта — едина…
бригада №1</x:v>
      </x:c>
      <x:c r="H49" s="86" t="str">
        <x:v>ОСОБЫЙ ГРАФИК
нужны даты</x:v>
      </x:c>
      <x:c r="I49" s="86" t="str">
        <x:v>ОСОБЫЙ ГРАФИК
нужны даты</x:v>
      </x:c>
      <x:c r="J49" s="103" t="str">
        <x:v>Зенченко А.М.
Водители легкового транспорта — едина…
бригада №1</x:v>
      </x:c>
      <x:c r="K49" s="104" t="str">
        <x:v>Проверить даты</x:v>
      </x:c>
      <x:c r="L49" s="115" t="str">
        <x:v>2 особый график — нужны даты</x:v>
      </x:c>
    </x:row>
    <x:row r="50" ht="64" customHeight="1">
      <x:c r="A50" s="82" t="str">
        <x:v>КИС 6</x:v>
      </x:c>
      <x:c r="B50" s="82" t="str">
        <x:v>45</x:v>
      </x:c>
      <x:c r="C50" s="81" t="str">
        <x:v>Резервисты</x:v>
      </x:c>
      <x:c r="D50" s="82" t="str">
        <x:v>По графикам должностей</x:v>
      </x:c>
      <x:c r="E50" s="106" t="str">
        <x:v>Ткаченко С.С.
официально утверждённая позиция водит…
бригада №1
ПРОВЕРИТЬ ЗАКРЕПЛЕНИЕ</x:v>
      </x:c>
      <x:c r="F50" s="106" t="str">
        <x:v>Филиппов А.В.
официально утверждённая позиция водит…
бригада №1
ПРОВЕРИТЬ ЗАКРЕПЛЕНИЕ</x:v>
      </x:c>
      <x:c r="G50" s="106" t="str">
        <x:v>Цымпилов А.Б.
официально утверждённая позиция водит…
бригада №1
ПРОВЕРИТЬ ЗАКРЕПЛЕНИЕ</x:v>
      </x:c>
      <x:c r="H50" s="106" t="str">
        <x:v>Шитов М.Е.
официально утверждённая позиция водит…
бригада №1
ПРОВЕРИТЬ ЗАКРЕПЛЕНИЕ</x:v>
      </x:c>
      <x:c r="I50" s="106" t="str">
        <x:v>Арапов М.С.
официально утверждённая позиция водит…
бригада №1
ПРОВЕРИТЬ ЗАКРЕПЛЕНИЕ</x:v>
      </x:c>
      <x:c r="J50" s="106" t="str">
        <x:v>Бориснев Е.В.
официально утверждённая позиция водит…
бригада №1
ПРОВЕРИТЬ ЗАКРЕПЛЕНИЕ</x:v>
      </x:c>
      <x:c r="K50" s="104" t="str">
        <x:v>Проверить закрепления</x:v>
      </x:c>
      <x:c r="L50" s="115" t="str">
        <x:v>6 закрепл. подтвердить</x:v>
      </x:c>
    </x:row>
    <x:row r="51" ht="64" customHeight="1">
      <x:c r="A51" s="82" t="str">
        <x:v>КИС 6</x:v>
      </x:c>
      <x:c r="B51" s="82" t="str">
        <x:v>46</x:v>
      </x:c>
      <x:c r="C51" s="81" t="str">
        <x:v>Сварщики</x:v>
      </x:c>
      <x:c r="D51" s="82" t="str">
        <x:v>По графикам должностей</x:v>
      </x:c>
      <x:c r="E51" s="103" t="str">
        <x:v>Гаврилов М.А.
Электрогазосварщик
бригада №1</x:v>
      </x:c>
      <x:c r="F51" s="103" t="str">
        <x:v>Емельянов В.Ю.
Электрогазосварщик
бригада №1</x:v>
      </x:c>
      <x:c r="G51" s="103" t="str">
        <x:v>Штоль М.А.
Электрогазосварщик
бригада №1</x:v>
      </x:c>
      <x:c r="H51" s="103" t="str">
        <x:v>Коротков Д.Ю.
Электрогазосварщик
бригада №2</x:v>
      </x:c>
      <x:c r="I51" s="103" t="str">
        <x:v>Селютин Д.Е.
Электрогазосварщик
бригада №1</x:v>
      </x:c>
      <x:c r="J51" s="103" t="str">
        <x:v>Комаров И.Б.
Электрогазосварщик
бригада №2</x:v>
      </x:c>
      <x:c r="K51" s="107" t="str">
        <x:v>Структурно допустимо</x:v>
      </x:c>
      <x:c r="L51" s="115" t="str"/>
    </x:row>
    <x:row r="52" ht="64" customHeight="1">
      <x:c r="A52" s="82" t="str">
        <x:v>КИС 6</x:v>
      </x:c>
      <x:c r="B52" s="82" t="str">
        <x:v>47</x:v>
      </x:c>
      <x:c r="C52" s="81" t="str">
        <x:v>Транспортная и электротехническая поддержка</x:v>
      </x:c>
      <x:c r="D52" s="82" t="str">
        <x:v>По графикам должностей</x:v>
      </x:c>
      <x:c r="E52" s="103" t="str">
        <x:v>Якумов А.Н.
Слесарь-электрик по ремонту электрооб…
бригада №1</x:v>
      </x:c>
      <x:c r="F52" s="103" t="str">
        <x:v>Щербина А.В.
Грузчик-стропальщик
бригада №1</x:v>
      </x:c>
      <x:c r="G52" s="103" t="str">
        <x:v>Отыргашев А.Н.
Машинист крана автомобильного
бригада №1</x:v>
      </x:c>
      <x:c r="H52" s="103" t="str">
        <x:v>Антонов В.Р.
Слесарь-электрик по ремонту электрооб…
бригада №1</x:v>
      </x:c>
      <x:c r="I52" s="103" t="str">
        <x:v>Соловьев В.Н.
Слесарь-ремонтник
бригада №2</x:v>
      </x:c>
      <x:c r="J52" s="103" t="str">
        <x:v>Малыхин В.Д.
Водитель грузового авто
бригада №1</x:v>
      </x:c>
      <x:c r="K52" s="107" t="str">
        <x:v>Структурно допустимо</x:v>
      </x:c>
      <x:c r="L52" s="115" t="str"/>
    </x:row>
  </x:sheetData>
  <x:mergeCells>
    <x:mergeCell ref="A1:L1"/>
    <x:mergeCell ref="A2:L2"/>
    <x:mergeCell ref="A3:L3"/>
    <x:mergeCell ref="A4:D4"/>
    <x:mergeCell ref="E4:G4"/>
    <x:mergeCell ref="H4:J4"/>
    <x:mergeCell ref="K4:L4"/>
  </x:mergeCells>
  <x:conditionalFormatting sqref="D6:D23">
    <x:cfRule type="containsText" dxfId="3" priority="1" operator="containsText" text="Не назначен"/>
  </x:conditionalFormatting>
  <x:dataValidations count="1">
    <x:dataValidation type="list" sqref="D6:D23">
      <x:formula1>"Не назначен,Стандартный 07:00/19:00,Ранний 06:00/18:00"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  <x:selection pane="topRight" activeCell="E1" sqref="E1"/>
      <x:selection pane="bottomLeft" activeCell="A6" sqref="A6"/>
      <x:selection pane="bottomRight" activeCell="E6" sqref="E6"/>
    </x:sheetView>
  </x:sheetViews>
  <x:sheetFormatPr defaultRowHeight="15"/>
  <x:cols>
    <x:col min="1" max="1" width="11" hidden="0" customWidth="1"/>
    <x:col min="2" max="2" width="9" hidden="0" customWidth="1"/>
    <x:col min="3" max="3" width="34" hidden="0" customWidth="1"/>
    <x:col min="4" max="4" width="23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30" hidden="0" customWidth="1"/>
  </x:cols>
  <x:sheetData>
    <x:row r="1" ht="34" customHeight="1">
      <x:c r="A1" s="4" t="str">
        <x:v>ВАХТА КОСАРЕВА — РАБОЧИЙ ПРОЕКТ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44" customHeight="1">
      <x:c r="A2" s="9" t="str">
        <x:v>график №12 — бригады №3 и №4; график №11 — бригада №2. Встречная месячная вахта на этом листе не показана. Фактическая рабочая смена и даты заезда пока не подтверждены.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</x:row>
    <x:row r="3" ht="34" customHeight="1">
      <x:c r="A3" s="97" t="str">
        <x:v>ТЕСТОВОЕ НАЛОЖЕНИЕ: 216 сотрудников; 24 вакансий; 3 временных помощника; 74 закреплений требуют разовой проверки. НЕ УТВЕРЖДАТЬ К ЗАМОРОЗКЕ.</x:v>
      </x:c>
      <x:c r="B3" s="98"/>
      <x:c r="C3" s="98"/>
      <x:c r="D3" s="98"/>
      <x:c r="E3" s="98"/>
      <x:c r="F3" s="98"/>
      <x:c r="G3" s="98"/>
      <x:c r="H3" s="98"/>
      <x:c r="I3" s="98"/>
      <x:c r="J3" s="98"/>
      <x:c r="K3" s="98"/>
      <x:c r="L3" s="99"/>
    </x:row>
    <x:row r="4" ht="26" customHeight="1">
      <x:c r="A4" s="102" t="str">
        <x:v>КОМНАТА И РЕЖИМ</x:v>
      </x:c>
      <x:c r="B4" s="102"/>
      <x:c r="C4" s="102"/>
      <x:c r="D4" s="102"/>
      <x:c r="E4" s="102" t="str">
        <x:v>БЛОК А — 3 КОЙКИ</x:v>
      </x:c>
      <x:c r="F4" s="102"/>
      <x:c r="G4" s="102"/>
      <x:c r="H4" s="102" t="str">
        <x:v>БЛОК Б — 3 КОЙКИ</x:v>
      </x:c>
      <x:c r="I4" s="102"/>
      <x:c r="J4" s="102"/>
      <x:c r="K4" s="102" t="str">
        <x:v>ПРОВЕРКА</x:v>
      </x:c>
      <x:c r="L4" s="102"/>
    </x:row>
    <x:row r="5" ht="34" customHeight="1">
      <x:c r="A5" s="66" t="str">
        <x:v>Общежитие</x:v>
      </x:c>
      <x:c r="B5" s="66" t="str">
        <x:v>Комната</x:v>
      </x:c>
      <x:c r="C5" s="66" t="str">
        <x:v>Назначение</x:v>
      </x:c>
      <x:c r="D5" s="66" t="str">
        <x:v>Режим на заезд</x:v>
      </x:c>
      <x:c r="E5" s="66" t="str">
        <x:v>А1</x:v>
      </x:c>
      <x:c r="F5" s="66" t="str">
        <x:v>А2</x:v>
      </x:c>
      <x:c r="G5" s="66" t="str">
        <x:v>А3</x:v>
      </x:c>
      <x:c r="H5" s="66" t="str">
        <x:v>Б1</x:v>
      </x:c>
      <x:c r="I5" s="66" t="str">
        <x:v>Б2</x:v>
      </x:c>
      <x:c r="J5" s="66" t="str">
        <x:v>Б3</x:v>
      </x:c>
      <x:c r="K5" s="66" t="str">
        <x:v>Результат</x:v>
      </x:c>
      <x:c r="L5" s="66" t="str">
        <x:v>Комментарий ответственного</x:v>
      </x:c>
    </x:row>
    <x:row r="6" ht="64" customHeight="1">
      <x:c r="A6" s="82" t="str">
        <x:v>КИС 5</x:v>
      </x:c>
      <x:c r="B6" s="82" t="str">
        <x:v>01</x:v>
      </x:c>
      <x:c r="C6" s="81" t="str">
        <x:v>Тяжёлая техника: БелАЗ №10, БелАЗ №11, БелАЗ №12</x:v>
      </x:c>
      <x:c r="D6" s="82" t="str">
        <x:v>Не назначен</x:v>
      </x:c>
      <x:c r="E6" s="103" t="str">
        <x:v>Ягупов И.В.
БелАЗ №10
бригада №3</x:v>
      </x:c>
      <x:c r="F6" s="103" t="str">
        <x:v>Кирьянов М.И.
БелАЗ №11
бригада №3</x:v>
      </x:c>
      <x:c r="G6" s="103" t="str">
        <x:v>Гончарук И.А.
БелАЗ №12
бригада №4</x:v>
      </x:c>
      <x:c r="H6" s="103" t="str">
        <x:v>Бачило А.И.
БелАЗ №10
бригада №4</x:v>
      </x:c>
      <x:c r="I6" s="103" t="str">
        <x:v>Жаров Д.С.
БелАЗ №11
бригада №4</x:v>
      </x:c>
      <x:c r="J6" s="103" t="str">
        <x:v>Дубровский А.И.
БелАЗ №12
бригада №3</x:v>
      </x:c>
      <x:c r="K6" s="104" t="str">
        <x:v>Указать режим</x:v>
      </x:c>
      <x:c r="L6" s="115" t="str"/>
    </x:row>
    <x:row r="7" ht="64" customHeight="1">
      <x:c r="A7" s="82" t="str">
        <x:v>КИС 5</x:v>
      </x:c>
      <x:c r="B7" s="82" t="str">
        <x:v>02</x:v>
      </x:c>
      <x:c r="C7" s="81" t="str">
        <x:v>Тяжёлая техника: БелАЗ №13, БелАЗ №14, БелАЗ №15</x:v>
      </x:c>
      <x:c r="D7" s="82" t="str">
        <x:v>Не назначен</x:v>
      </x:c>
      <x:c r="E7" s="103" t="str">
        <x:v>Брекотнин С.В.
БелАЗ №13
бригада №3</x:v>
      </x:c>
      <x:c r="F7" s="103" t="str">
        <x:v>Игнатьев Р.М.
БелАЗ №14
бригада №3</x:v>
      </x:c>
      <x:c r="G7" s="106" t="str">
        <x:v>Злыдень А.Н.
БелАЗ №15
бригада №4
ПРОВЕРИТЬ ЗАКРЕПЛЕНИЕ</x:v>
      </x:c>
      <x:c r="H7" s="103" t="str">
        <x:v>Савельев Д.О.
БелАЗ №13
бригада №4</x:v>
      </x:c>
      <x:c r="I7" s="103" t="str">
        <x:v>Кожевников А.В.
БелАЗ №14
бригада №4</x:v>
      </x:c>
      <x:c r="J7" s="106" t="str">
        <x:v>Бухтияров С.А.
БелАЗ №15
бригада №3
ПРОВЕРИТЬ ЗАКРЕПЛЕНИЕ</x:v>
      </x:c>
      <x:c r="K7" s="104" t="str">
        <x:v>Режим + закрепления</x:v>
      </x:c>
      <x:c r="L7" s="115" t="str">
        <x:v>2 закрепл. подтвердить</x:v>
      </x:c>
    </x:row>
    <x:row r="8" ht="64" customHeight="1">
      <x:c r="A8" s="82" t="str">
        <x:v>КИС 5</x:v>
      </x:c>
      <x:c r="B8" s="82" t="str">
        <x:v>03</x:v>
      </x:c>
      <x:c r="C8" s="81" t="str">
        <x:v>Тяжёлая техника: БелАЗ №16, БелАЗ №17, БелАЗ №18</x:v>
      </x:c>
      <x:c r="D8" s="82" t="str">
        <x:v>Не назначен</x:v>
      </x:c>
      <x:c r="E8" s="103" t="str">
        <x:v>Комаров А.В.
БелАЗ №16
бригада №3</x:v>
      </x:c>
      <x:c r="F8" s="106" t="str">
        <x:v>Степанов М.А.
БелАЗ №17
бригада №3
ПРОВЕРИТЬ ЗАКРЕПЛЕНИЕ</x:v>
      </x:c>
      <x:c r="G8" s="103" t="str">
        <x:v>Арсентьев Е.В.
БелАЗ №18
бригада №4</x:v>
      </x:c>
      <x:c r="H8" s="103" t="str">
        <x:v>Асташов М.Л.
БелАЗ №16
бригада №4</x:v>
      </x:c>
      <x:c r="I8" s="103" t="str">
        <x:v>Полещук К.Н.
БелАЗ №17
бригада №4</x:v>
      </x:c>
      <x:c r="J8" s="103" t="str">
        <x:v>Шестаков К.В.
БелАЗ №18
бригада №3</x:v>
      </x:c>
      <x:c r="K8" s="104" t="str">
        <x:v>Режим + закрепления</x:v>
      </x:c>
      <x:c r="L8" s="115" t="str">
        <x:v>1 закрепл. подтвердить</x:v>
      </x:c>
    </x:row>
    <x:row r="9" ht="64" customHeight="1">
      <x:c r="A9" s="82" t="str">
        <x:v>КИС 5</x:v>
      </x:c>
      <x:c r="B9" s="82" t="str">
        <x:v>04</x:v>
      </x:c>
      <x:c r="C9" s="81" t="str">
        <x:v>Тяжёлая техника: БелАЗ №19, БелАЗ №20, БелАЗ №21</x:v>
      </x:c>
      <x:c r="D9" s="82" t="str">
        <x:v>Не назначен</x:v>
      </x:c>
      <x:c r="E9" s="103" t="str">
        <x:v>Бикбаев Е.В.
БелАЗ №19
бригада №3</x:v>
      </x:c>
      <x:c r="F9" s="103" t="str">
        <x:v>Гришин Д.В.
БелАЗ №20
бригада №3</x:v>
      </x:c>
      <x:c r="G9" s="103" t="str">
        <x:v>Лейс В.В.
БелАЗ №21
бригада №4</x:v>
      </x:c>
      <x:c r="H9" s="103" t="str">
        <x:v>Яковлев А.В.
БелАЗ №19
бригада №4</x:v>
      </x:c>
      <x:c r="I9" s="103" t="str">
        <x:v>Доброскокин В.В.
БелАЗ №20
бригада №4</x:v>
      </x:c>
      <x:c r="J9" s="103" t="str">
        <x:v>Султанов Е.В.
БелАЗ №21
бригада №3</x:v>
      </x:c>
      <x:c r="K9" s="104" t="str">
        <x:v>Указать режим</x:v>
      </x:c>
      <x:c r="L9" s="115" t="str"/>
    </x:row>
    <x:row r="10" ht="64" customHeight="1">
      <x:c r="A10" s="82" t="str">
        <x:v>КИС 5</x:v>
      </x:c>
      <x:c r="B10" s="82" t="str">
        <x:v>05</x:v>
      </x:c>
      <x:c r="C10" s="81" t="str">
        <x:v>Тяжёлая техника: БелАЗ №22, БелАЗ №23, БелАЗ №24</x:v>
      </x:c>
      <x:c r="D10" s="82" t="str">
        <x:v>Не назначен</x:v>
      </x:c>
      <x:c r="E10" s="106" t="str">
        <x:v>Фарвазов Д.М.
БелАЗ №22
бригада №3
ПРОВЕРИТЬ ЗАКРЕПЛЕНИЕ</x:v>
      </x:c>
      <x:c r="F10" s="103" t="str">
        <x:v>Мухаметов А.Х.
БелАЗ №23
бригада №3</x:v>
      </x:c>
      <x:c r="G10" s="103" t="str">
        <x:v>Аиткулов А.Н.
БелАЗ №24
бригада №4</x:v>
      </x:c>
      <x:c r="H10" s="103" t="str">
        <x:v>Куля Д.С.
БелАЗ №22
бригада №4</x:v>
      </x:c>
      <x:c r="I10" s="106" t="str">
        <x:v>Денисов В.Б.
БелАЗ №23
бригада №4
ПРОВЕРИТЬ ЗАКРЕПЛЕНИЕ</x:v>
      </x:c>
      <x:c r="J10" s="103" t="str">
        <x:v>Искужин Ф.Ф.
БелАЗ №24
бригада №3</x:v>
      </x:c>
      <x:c r="K10" s="104" t="str">
        <x:v>Режим + закрепления</x:v>
      </x:c>
      <x:c r="L10" s="115" t="str">
        <x:v>2 закрепл. подтвердить</x:v>
      </x:c>
    </x:row>
    <x:row r="11" ht="64" customHeight="1">
      <x:c r="A11" s="82" t="str">
        <x:v>КИС 5</x:v>
      </x:c>
      <x:c r="B11" s="82" t="str">
        <x:v>06</x:v>
      </x:c>
      <x:c r="C11" s="81" t="str">
        <x:v>Тяжёлая техника: БелАЗ №25, БелАЗ №26, БелАЗ №27</x:v>
      </x:c>
      <x:c r="D11" s="82" t="str">
        <x:v>Не назначен</x:v>
      </x:c>
      <x:c r="E11" s="106" t="str">
        <x:v>Жуков Е.Н.
БелАЗ №25
бригада №3
ПРОВЕРИТЬ ЗАКРЕПЛЕНИЕ</x:v>
      </x:c>
      <x:c r="F11" s="103" t="str">
        <x:v>Будаев И.П.
БелАЗ №26
бригада №3</x:v>
      </x:c>
      <x:c r="G11" s="103" t="str">
        <x:v>Мазихин И.П.
БелАЗ №27
бригада №4</x:v>
      </x:c>
      <x:c r="H11" s="103" t="str">
        <x:v>Вольхин А.В.
БелАЗ №25
бригада №4</x:v>
      </x:c>
      <x:c r="I11" s="103" t="str">
        <x:v>Ситенко В.В.
БелАЗ №26
бригада №4</x:v>
      </x:c>
      <x:c r="J11" s="106" t="str">
        <x:v>Попов П.В.
БелАЗ №27
бригада №3
ПРОВЕРИТЬ ЗАКРЕПЛЕНИЕ</x:v>
      </x:c>
      <x:c r="K11" s="104" t="str">
        <x:v>Режим + закрепления</x:v>
      </x:c>
      <x:c r="L11" s="115" t="str">
        <x:v>2 закрепл. подтвердить</x:v>
      </x:c>
    </x:row>
    <x:row r="12" ht="64" customHeight="1">
      <x:c r="A12" s="82" t="str">
        <x:v>КИС 5</x:v>
      </x:c>
      <x:c r="B12" s="82" t="str">
        <x:v>07</x:v>
      </x:c>
      <x:c r="C12" s="81" t="str">
        <x:v>Тяжёлая техника: БелАЗ №28, БелАЗ №29, БелАЗ №30</x:v>
      </x:c>
      <x:c r="D12" s="82" t="str">
        <x:v>Не назначен</x:v>
      </x:c>
      <x:c r="E12" s="106" t="str">
        <x:v>Борисенко Н.А.
БелАЗ №28
бригада №3
ПРОВЕРИТЬ ЗАКРЕПЛЕНИЕ</x:v>
      </x:c>
      <x:c r="F12" s="106" t="str">
        <x:v>Кузнецов К.Ю.
БелАЗ №29
бригада №3
ПРОВЕРИТЬ ЗАКРЕПЛЕНИЕ</x:v>
      </x:c>
      <x:c r="G12" s="103" t="str">
        <x:v>Лещенко Ю.Л.
БелАЗ №30
бригада №4</x:v>
      </x:c>
      <x:c r="H12" s="103" t="str">
        <x:v>Федоров Б.А.
БелАЗ №28
бригада №4</x:v>
      </x:c>
      <x:c r="I12" s="103" t="str">
        <x:v>Таран П.Ю.
БелАЗ №29
бригада №4</x:v>
      </x:c>
      <x:c r="J12" s="103" t="str">
        <x:v>Верещагин А.В.
БелАЗ №30
бригада №3</x:v>
      </x:c>
      <x:c r="K12" s="104" t="str">
        <x:v>Режим + закрепления</x:v>
      </x:c>
      <x:c r="L12" s="115" t="str">
        <x:v>2 закрепл. подтвердить</x:v>
      </x:c>
    </x:row>
    <x:row r="13" ht="64" customHeight="1">
      <x:c r="A13" s="82" t="str">
        <x:v>КИС 5</x:v>
      </x:c>
      <x:c r="B13" s="82" t="str">
        <x:v>08</x:v>
      </x:c>
      <x:c r="C13" s="81" t="str">
        <x:v>Тяжёлая техника: БелАЗ №31, БелАЗ №32, БелАЗ №33</x:v>
      </x:c>
      <x:c r="D13" s="82" t="str">
        <x:v>Не назначен</x:v>
      </x:c>
      <x:c r="E13" s="103" t="str">
        <x:v>Егунов А.Е.
БелАЗ №31
бригада №3</x:v>
      </x:c>
      <x:c r="F13" s="103" t="str">
        <x:v>Волков С.А.
БелАЗ №32
бригада №3</x:v>
      </x:c>
      <x:c r="G13" s="103" t="str">
        <x:v>Лозманов П.С.
БелАЗ №33
бригада №4</x:v>
      </x:c>
      <x:c r="H13" s="103" t="str">
        <x:v>Репин А.С.
БелАЗ №31
бригада №4</x:v>
      </x:c>
      <x:c r="I13" s="103" t="str">
        <x:v>Кизин П.А.
БелАЗ №32
бригада №4</x:v>
      </x:c>
      <x:c r="J13" s="103" t="str">
        <x:v>Буданов М.С.
БелАЗ №33
бригада №3</x:v>
      </x:c>
      <x:c r="K13" s="104" t="str">
        <x:v>Указать режим</x:v>
      </x:c>
      <x:c r="L13" s="115" t="str"/>
    </x:row>
    <x:row r="14" ht="64" customHeight="1">
      <x:c r="A14" s="82" t="str">
        <x:v>КИС 5</x:v>
      </x:c>
      <x:c r="B14" s="82" t="str">
        <x:v>09</x:v>
      </x:c>
      <x:c r="C14" s="81" t="str">
        <x:v>Тяжёлая техника: БелАЗ №34, БелАЗ №35, БелАЗ №36</x:v>
      </x:c>
      <x:c r="D14" s="82" t="str">
        <x:v>Не назначен</x:v>
      </x:c>
      <x:c r="E14" s="103" t="str">
        <x:v>Анненков В.А.
БелАЗ №34
бригада №3</x:v>
      </x:c>
      <x:c r="F14" s="103" t="str">
        <x:v>Маленко А.И.
БелАЗ №35
бригада №3</x:v>
      </x:c>
      <x:c r="G14" s="103" t="str">
        <x:v>Андреев А.В.
БелАЗ №36
бригада №4</x:v>
      </x:c>
      <x:c r="H14" s="103" t="str">
        <x:v>Рогалев И.С.
БелАЗ №34
бригада №4</x:v>
      </x:c>
      <x:c r="I14" s="103" t="str">
        <x:v>Маленко С.А.
БелАЗ №35
бригада №4</x:v>
      </x:c>
      <x:c r="J14" s="103" t="str">
        <x:v>Хайрулин Р.Р.
БелАЗ №36
бригада №3</x:v>
      </x:c>
      <x:c r="K14" s="104" t="str">
        <x:v>Указать режим</x:v>
      </x:c>
      <x:c r="L14" s="115" t="str"/>
    </x:row>
    <x:row r="15" ht="64" customHeight="1">
      <x:c r="A15" s="82" t="str">
        <x:v>КИС 5</x:v>
      </x:c>
      <x:c r="B15" s="82" t="str">
        <x:v>10</x:v>
      </x:c>
      <x:c r="C15" s="81" t="str">
        <x:v>Тяжёлая техника: БелАЗ №37, БелАЗ №38, БелАЗ №39</x:v>
      </x:c>
      <x:c r="D15" s="82" t="str">
        <x:v>Не назначен</x:v>
      </x:c>
      <x:c r="E15" s="103" t="str">
        <x:v>Карунин И.А.
БелАЗ №37
бригада №3</x:v>
      </x:c>
      <x:c r="F15" s="106" t="str">
        <x:v>Шлягин Р.С.
БелАЗ №38
бригада №3
ПРОВЕРИТЬ ЗАКРЕПЛЕНИЕ</x:v>
      </x:c>
      <x:c r="G15" s="103" t="str">
        <x:v>Альдебергенов Н.Э.
БелАЗ №39
бригада №4</x:v>
      </x:c>
      <x:c r="H15" s="103" t="str">
        <x:v>Ханас П.И.
БелАЗ №37
бригада №4</x:v>
      </x:c>
      <x:c r="I15" s="103" t="str">
        <x:v>Шипицын С.А.
БелАЗ №38
бригада №4</x:v>
      </x:c>
      <x:c r="J15" s="103" t="str">
        <x:v>Кебин Д.С.
БелАЗ №39
бригада №3</x:v>
      </x:c>
      <x:c r="K15" s="104" t="str">
        <x:v>Режим + закрепления</x:v>
      </x:c>
      <x:c r="L15" s="115" t="str">
        <x:v>1 закрепл. подтвердить</x:v>
      </x:c>
    </x:row>
    <x:row r="16" ht="64" customHeight="1">
      <x:c r="A16" s="82" t="str">
        <x:v>КИС 5</x:v>
      </x:c>
      <x:c r="B16" s="82" t="str">
        <x:v>11</x:v>
      </x:c>
      <x:c r="C16" s="81" t="str">
        <x:v>Тяжёлая техника: БелАЗ №40, БелАЗ №41, БелАЗ №42</x:v>
      </x:c>
      <x:c r="D16" s="82" t="str">
        <x:v>Не назначен</x:v>
      </x:c>
      <x:c r="E16" s="103" t="str">
        <x:v>Кискин А.И.
БелАЗ №40
бригада №3</x:v>
      </x:c>
      <x:c r="F16" s="103" t="str">
        <x:v>Закиров С.Е.
БелАЗ №41
бригада №3</x:v>
      </x:c>
      <x:c r="G16" s="103" t="str">
        <x:v>Лакатош М.И.
БелАЗ №42
бригада №4</x:v>
      </x:c>
      <x:c r="H16" s="103" t="str">
        <x:v>Рассказов А.В.
БелАЗ №40
бригада №4</x:v>
      </x:c>
      <x:c r="I16" s="103" t="str">
        <x:v>Бобровский В.М.
БелАЗ №41
бригада №4</x:v>
      </x:c>
      <x:c r="J16" s="103" t="str">
        <x:v>Кошкин Р.Е.
БелАЗ №42
бригада №3</x:v>
      </x:c>
      <x:c r="K16" s="104" t="str">
        <x:v>Указать режим</x:v>
      </x:c>
      <x:c r="L16" s="115" t="str"/>
    </x:row>
    <x:row r="17" ht="64" customHeight="1">
      <x:c r="A17" s="82" t="str">
        <x:v>КИС 5</x:v>
      </x:c>
      <x:c r="B17" s="82" t="str">
        <x:v>12</x:v>
      </x:c>
      <x:c r="C17" s="81" t="str">
        <x:v>Тяжёлая техника: БелАЗ №43, БелАЗ №44, БелАЗ №45</x:v>
      </x:c>
      <x:c r="D17" s="82" t="str">
        <x:v>Не назначен</x:v>
      </x:c>
      <x:c r="E17" s="103" t="str">
        <x:v>Танкин М.Н.
БелАЗ №43
бригада №3</x:v>
      </x:c>
      <x:c r="F17" s="103" t="str">
        <x:v>Щербаков В.А.
БелАЗ №44
бригада №3</x:v>
      </x:c>
      <x:c r="G17" s="106" t="str">
        <x:v>Медецкий С.В.
БелАЗ №45
бригада №4
ПРОВЕРИТЬ ЗАКРЕПЛЕНИЕ</x:v>
      </x:c>
      <x:c r="H17" s="103" t="str">
        <x:v>Балдаков И.Н.
БелАЗ №43
бригада №4</x:v>
      </x:c>
      <x:c r="I17" s="103" t="str">
        <x:v>Свяжин А.Р.
БелАЗ №44
бригада №4</x:v>
      </x:c>
      <x:c r="J17" s="103" t="str">
        <x:v>Хомяков В.Э.
БелАЗ №45
бригада №3</x:v>
      </x:c>
      <x:c r="K17" s="104" t="str">
        <x:v>Режим + закрепления</x:v>
      </x:c>
      <x:c r="L17" s="115" t="str">
        <x:v>1 закрепл. подтвердить</x:v>
      </x:c>
    </x:row>
    <x:row r="18" ht="64" customHeight="1">
      <x:c r="A18" s="82" t="str">
        <x:v>КИС 5</x:v>
      </x:c>
      <x:c r="B18" s="82" t="str">
        <x:v>13</x:v>
      </x:c>
      <x:c r="C18" s="81" t="str">
        <x:v>Тяжёлая техника: БелАЗ №46, БелАЗ №47, БелАЗ №48</x:v>
      </x:c>
      <x:c r="D18" s="82" t="str">
        <x:v>Не назначен</x:v>
      </x:c>
      <x:c r="E18" s="106" t="str">
        <x:v>Власов В.С.
БелАЗ №46
бригада №3
ПРОВЕРИТЬ ЗАКРЕПЛЕНИЕ</x:v>
      </x:c>
      <x:c r="F18" s="103" t="str">
        <x:v>Рокутов А.А.
БелАЗ №47
бригада №3</x:v>
      </x:c>
      <x:c r="G18" s="103" t="str">
        <x:v>Вашкарин А.М.
БелАЗ №48
бригада №4</x:v>
      </x:c>
      <x:c r="H18" s="103" t="str">
        <x:v>Зяблицкий Е.А.
БелАЗ №46
бригада №4</x:v>
      </x:c>
      <x:c r="I18" s="103" t="str">
        <x:v>Куров С.А.
БелАЗ №47
бригада №4</x:v>
      </x:c>
      <x:c r="J18" s="103" t="str">
        <x:v>Гришков В.П.
БелАЗ №48
бригада №3</x:v>
      </x:c>
      <x:c r="K18" s="104" t="str">
        <x:v>Режим + закрепления</x:v>
      </x:c>
      <x:c r="L18" s="115" t="str">
        <x:v>1 закрепл. подтвердить</x:v>
      </x:c>
    </x:row>
    <x:row r="19" ht="64" customHeight="1">
      <x:c r="A19" s="82" t="str">
        <x:v>КИС 5</x:v>
      </x:c>
      <x:c r="B19" s="82" t="str">
        <x:v>14</x:v>
      </x:c>
      <x:c r="C19" s="81" t="str">
        <x:v>Тяжёлая техника: БелАЗ №49, БелАЗ №50, БелАЗ №51</x:v>
      </x:c>
      <x:c r="D19" s="82" t="str">
        <x:v>Не назначен</x:v>
      </x:c>
      <x:c r="E19" s="103" t="str">
        <x:v>Маколдин Ю.А.
БелАЗ №49
бригада №3</x:v>
      </x:c>
      <x:c r="F19" s="103" t="str">
        <x:v>Хабибулин Е.М.
БелАЗ №50
бригада №3</x:v>
      </x:c>
      <x:c r="G19" s="103" t="str">
        <x:v>Гранкин Г.В.
БелАЗ №51
бригада №4</x:v>
      </x:c>
      <x:c r="H19" s="103" t="str">
        <x:v>Горшенин А.Н.
БелАЗ №49
бригада №4</x:v>
      </x:c>
      <x:c r="I19" s="103" t="str">
        <x:v>Корнев К.А.
БелАЗ №50
бригада №4</x:v>
      </x:c>
      <x:c r="J19" s="103" t="str">
        <x:v>Мизгачев М.С.
БелАЗ №51
бригада №3</x:v>
      </x:c>
      <x:c r="K19" s="104" t="str">
        <x:v>Указать режим</x:v>
      </x:c>
      <x:c r="L19" s="115" t="str"/>
    </x:row>
    <x:row r="20" ht="64" customHeight="1">
      <x:c r="A20" s="82" t="str">
        <x:v>КИС 5</x:v>
      </x:c>
      <x:c r="B20" s="82" t="str">
        <x:v>15</x:v>
      </x:c>
      <x:c r="C20" s="81" t="str">
        <x:v>Тяжёлая техника: БелАЗ №52, Тягач-эвакуатор №53, NHL №54</x:v>
      </x:c>
      <x:c r="D20" s="82" t="str">
        <x:v>Не назначен</x:v>
      </x:c>
      <x:c r="E20" s="103" t="str">
        <x:v>Петров Е.А.
БелАЗ №52
бригада №3</x:v>
      </x:c>
      <x:c r="F20" s="103" t="str">
        <x:v>Уряшев Ю.Н.
Тягач-эвакуатор №53
бригада №3</x:v>
      </x:c>
      <x:c r="G20" s="103" t="str">
        <x:v>Ширяев К.В.
NHL №54
бригада №4</x:v>
      </x:c>
      <x:c r="H20" s="103" t="str">
        <x:v>Юдин А.А.
БелАЗ №52
бригада №4</x:v>
      </x:c>
      <x:c r="I20" s="106" t="str">
        <x:v>Нечунаев Р.М.
Тягач-эвакуатор №53
бригада №4
ПРОВЕРИТЬ ЗАКРЕПЛЕНИЕ</x:v>
      </x:c>
      <x:c r="J20" s="103" t="str">
        <x:v>Нейфельд В.В.
NHL №54
бригада №3</x:v>
      </x:c>
      <x:c r="K20" s="104" t="str">
        <x:v>Режим + закрепления</x:v>
      </x:c>
      <x:c r="L20" s="115" t="str">
        <x:v>1 закрепл. подтвердить</x:v>
      </x:c>
    </x:row>
    <x:row r="21" ht="64" customHeight="1">
      <x:c r="A21" s="82" t="str">
        <x:v>КИС 5</x:v>
      </x:c>
      <x:c r="B21" s="82" t="str">
        <x:v>16</x:v>
      </x:c>
      <x:c r="C21" s="81" t="str">
        <x:v>Тяжёлая техника: NHL №55, NHL №56, NHL №57</x:v>
      </x:c>
      <x:c r="D21" s="82" t="str">
        <x:v>Не назначен</x:v>
      </x:c>
      <x:c r="E21" s="103" t="str">
        <x:v>Самойлов С.А.
NHL №55
бригада №3</x:v>
      </x:c>
      <x:c r="F21" s="103" t="str">
        <x:v>Кощеев А.Ю.
NHL №56
бригада №3</x:v>
      </x:c>
      <x:c r="G21" s="103" t="str">
        <x:v>Петропавловский В.А.
NHL №57
бригада №4</x:v>
      </x:c>
      <x:c r="H21" s="103" t="str">
        <x:v>Дудко Е.Н.
NHL №55
бригада №4</x:v>
      </x:c>
      <x:c r="I21" s="103" t="str">
        <x:v>Белицкий А.А.
NHL №56
бригада №4</x:v>
      </x:c>
      <x:c r="J21" s="103" t="str">
        <x:v>Арсланов Л.Р.
NHL №57
бригада №3</x:v>
      </x:c>
      <x:c r="K21" s="104" t="str">
        <x:v>Указать режим</x:v>
      </x:c>
      <x:c r="L21" s="115" t="str"/>
    </x:row>
    <x:row r="22" ht="64" customHeight="1">
      <x:c r="A22" s="82" t="str">
        <x:v>КИС 5</x:v>
      </x:c>
      <x:c r="B22" s="82" t="str">
        <x:v>17</x:v>
      </x:c>
      <x:c r="C22" s="81" t="str">
        <x:v>Тяжёлая техника: NHL №58, NHL №59, NHL №60</x:v>
      </x:c>
      <x:c r="D22" s="82" t="str">
        <x:v>Не назначен</x:v>
      </x:c>
      <x:c r="E22" s="103" t="str">
        <x:v>Черыков И.А.
NHL №58
бригада №3</x:v>
      </x:c>
      <x:c r="F22" s="103" t="str">
        <x:v>Буерачный Е.Н.
NHL №59
бригада №3</x:v>
      </x:c>
      <x:c r="G22" s="103" t="str">
        <x:v>Петров В.С.
NHL №60
бригада №4</x:v>
      </x:c>
      <x:c r="H22" s="103" t="str">
        <x:v>Рой И.Н.
NHL №58
бригада №4</x:v>
      </x:c>
      <x:c r="I22" s="103" t="str">
        <x:v>Баскаков В.В.
NHL №59
бригада №4</x:v>
      </x:c>
      <x:c r="J22" s="103" t="str">
        <x:v>Воробьев А.Н.
NHL №60
бригада №3</x:v>
      </x:c>
      <x:c r="K22" s="104" t="str">
        <x:v>Указать режим</x:v>
      </x:c>
      <x:c r="L22" s="115" t="str"/>
    </x:row>
    <x:row r="23" ht="64" customHeight="1">
      <x:c r="A23" s="82" t="str">
        <x:v>КИС 5</x:v>
      </x:c>
      <x:c r="B23" s="82" t="str">
        <x:v>19</x:v>
      </x:c>
      <x:c r="C23" s="81" t="str">
        <x:v>Тяжёлая техника: NHL №61, NHL №62, NHL №63</x:v>
      </x:c>
      <x:c r="D23" s="82" t="str">
        <x:v>Не назначен</x:v>
      </x:c>
      <x:c r="E23" s="103" t="str">
        <x:v>Конев И.Н.
NHL №61
бригада №3</x:v>
      </x:c>
      <x:c r="F23" s="103" t="str">
        <x:v>Заречнев Е.В.
NHL №62
бригада №3</x:v>
      </x:c>
      <x:c r="G23" s="103" t="str">
        <x:v>Цыганков А.В.
NHL №63
бригада №4</x:v>
      </x:c>
      <x:c r="H23" s="103" t="str">
        <x:v>Зырянов Д.А.
NHL №61
бригада №4</x:v>
      </x:c>
      <x:c r="I23" s="103" t="str">
        <x:v>Васильков А.В.
NHL №62
бригада №4</x:v>
      </x:c>
      <x:c r="J23" s="106" t="str">
        <x:v>Вагин А.В.
NHL №63
бригада №3
ПРОВЕРИТЬ ЗАКРЕПЛЕНИЕ</x:v>
      </x:c>
      <x:c r="K23" s="104" t="str">
        <x:v>Режим + закрепления</x:v>
      </x:c>
      <x:c r="L23" s="115" t="str">
        <x:v>1 закрепл. подтвердить</x:v>
      </x:c>
    </x:row>
    <x:row r="24" ht="64" customHeight="1">
      <x:c r="A24" s="82" t="str">
        <x:v>КИС 5</x:v>
      </x:c>
      <x:c r="B24" s="82" t="str">
        <x:v>20</x:v>
      </x:c>
      <x:c r="C24" s="81" t="str">
        <x:v>Ремонтные рабочие — группа 2</x:v>
      </x:c>
      <x:c r="D24" s="82" t="str">
        <x:v>По графикам должностей</x:v>
      </x:c>
      <x:c r="E24" s="103" t="str">
        <x:v>Лапшин М.Ю.
Слесарь-ремонтник
бригада №4</x:v>
      </x:c>
      <x:c r="F24" s="103" t="str">
        <x:v>Минаков А.Н.
Слесарь-ремонтник
бригада №3</x:v>
      </x:c>
      <x:c r="G24" s="103" t="str">
        <x:v>Москалев С.С.
Слесарь-ремонтник
бригада №3</x:v>
      </x:c>
      <x:c r="H24" s="103" t="str">
        <x:v>Сыздыков С.А.
Слесарь-ремонтник
бригада №3</x:v>
      </x:c>
      <x:c r="I24" s="103" t="str">
        <x:v>Хорхенов А.Г.
Слесарь-ремонтник
бригада №4</x:v>
      </x:c>
      <x:c r="J24" s="103" t="str">
        <x:v>null
Слесарь-ремонтник</x:v>
      </x:c>
      <x:c r="K24" s="107" t="str">
        <x:v>Структурно допустимо</x:v>
      </x:c>
      <x:c r="L24" s="115" t="str"/>
    </x:row>
    <x:row r="25" ht="64" customHeight="1">
      <x:c r="A25" s="82" t="str">
        <x:v>КИС 5</x:v>
      </x:c>
      <x:c r="B25" s="82" t="str">
        <x:v>21</x:v>
      </x:c>
      <x:c r="C25" s="81" t="str">
        <x:v>Ремонтные рабочие — группа 1</x:v>
      </x:c>
      <x:c r="D25" s="82" t="str">
        <x:v>По графикам должностей</x:v>
      </x:c>
      <x:c r="E25" s="103" t="str">
        <x:v>Адайкин А.И.
Слесарь-ремонтник
бригада №3</x:v>
      </x:c>
      <x:c r="F25" s="103" t="str">
        <x:v>Базанов И.Н.
Слесарь-ремонтник
бригада №3</x:v>
      </x:c>
      <x:c r="G25" s="103" t="str">
        <x:v>Гранкин В.В.
Слесарь-ремонтник
бригада №3</x:v>
      </x:c>
      <x:c r="H25" s="103" t="str">
        <x:v>Косарев Д.А.
Слесарь-ремонтник
бригада №3</x:v>
      </x:c>
      <x:c r="I25" s="103" t="str">
        <x:v>Куракин С.Н.
Слесарь-ремонтник
бригада №3</x:v>
      </x:c>
      <x:c r="J25" s="103" t="str">
        <x:v>Куракин Ю.Н.
Слесарь-ремонтник
бригада №4</x:v>
      </x:c>
      <x:c r="K25" s="107" t="str">
        <x:v>Структурно допустимо</x:v>
      </x:c>
      <x:c r="L25" s="115" t="str"/>
    </x:row>
    <x:row r="26" ht="64" customHeight="1">
      <x:c r="A26" s="82" t="str">
        <x:v>КИС 5</x:v>
      </x:c>
      <x:c r="B26" s="82" t="str">
        <x:v>22</x:v>
      </x:c>
      <x:c r="C26" s="81" t="str">
        <x:v>Особые графики и совместимые должности</x:v>
      </x:c>
      <x:c r="D26" s="82" t="str">
        <x:v>Особый — по датам</x:v>
      </x:c>
      <x:c r="E26" s="86" t="str">
        <x:v>ОСОБЫЙ ГРАФИК
нужны даты</x:v>
      </x:c>
      <x:c r="F26" s="86" t="str">
        <x:v>ОСОБЫЙ ГРАФИК
нужны даты</x:v>
      </x:c>
      <x:c r="G26" s="86" t="str">
        <x:v>ОСОБЫЙ ГРАФИК
нужны даты</x:v>
      </x:c>
      <x:c r="H26" s="103" t="str">
        <x:v>null
Водитель самосвала</x:v>
      </x:c>
      <x:c r="I26" s="103" t="str">
        <x:v>null
Водитель самосвала</x:v>
      </x:c>
      <x:c r="J26" s="103" t="str">
        <x:v>null
Водитель самосвала</x:v>
      </x:c>
      <x:c r="K26" s="104" t="str">
        <x:v>Проверить даты</x:v>
      </x:c>
      <x:c r="L26" s="115" t="str">
        <x:v>3 особый график — нужны даты</x:v>
      </x:c>
    </x:row>
    <x:row r="27" ht="64" customHeight="1">
      <x:c r="A27" s="82" t="str">
        <x:v>КИС 5</x:v>
      </x:c>
      <x:c r="B27" s="82" t="str">
        <x:v>23</x:v>
      </x:c>
      <x:c r="C27" s="81" t="str">
        <x:v>Женская комната</x:v>
      </x:c>
      <x:c r="D27" s="82" t="str">
        <x:v>По графикам должностей</x:v>
      </x:c>
      <x:c r="E27" s="103" t="str">
        <x:v>Жбанова А.А.
Женская комната — совместимая должность
бригада №4</x:v>
      </x:c>
      <x:c r="F27" s="103" t="str">
        <x:v>Тарасова М.Н.
Женская комната — совместимая должность
бригада №2</x:v>
      </x:c>
      <x:c r="G27" s="103" t="str">
        <x:v>null
женская должностная позиция; совмести…</x:v>
      </x:c>
      <x:c r="H27" s="103" t="str">
        <x:v>Таранченко Ю.В.
Женская комната — совместимая должность
бригада №3</x:v>
      </x:c>
      <x:c r="I27" s="103" t="str">
        <x:v>Бурейко В.Ю.
Женская комната — совместимая должность
бригада №2</x:v>
      </x:c>
      <x:c r="J27" s="103" t="str">
        <x:v>Барышева Е.С.
Женская комната — совместимая должность
бригада №2</x:v>
      </x:c>
      <x:c r="K27" s="107" t="str">
        <x:v>Структурно допустимо</x:v>
      </x:c>
      <x:c r="L27" s="115" t="str"/>
    </x:row>
    <x:row r="28" ht="64" customHeight="1">
      <x:c r="A28" s="82" t="str">
        <x:v>КИС 5</x:v>
      </x:c>
      <x:c r="B28" s="82" t="str">
        <x:v>24</x:v>
      </x:c>
      <x:c r="C28" s="81" t="str">
        <x:v>Женская комната</x:v>
      </x:c>
      <x:c r="D28" s="82" t="str">
        <x:v>По графикам должностей</x:v>
      </x:c>
      <x:c r="E28" s="103" t="str">
        <x:v>Попова Е.В.
Женская комната — совместимая должность
бригада №2</x:v>
      </x:c>
      <x:c r="F28" s="103" t="str">
        <x:v>Фурсанова Е.В.
Женская комната — совместимая должность
бригада №2</x:v>
      </x:c>
      <x:c r="G28" s="103" t="str">
        <x:v>null
женская должностная позиция; совмести…</x:v>
      </x:c>
      <x:c r="H28" s="103" t="str">
        <x:v>Шулика Е.Ю.
Женская комната — совместимая должность
бригада №4</x:v>
      </x:c>
      <x:c r="I28" s="103" t="str">
        <x:v>null
женская должностная позиция; совмести…</x:v>
      </x:c>
      <x:c r="J28" s="103" t="str">
        <x:v>Кукушкина К.А.
Женская комната — совместимая должность
бригада №2</x:v>
      </x:c>
      <x:c r="K28" s="107" t="str">
        <x:v>Структурно допустимо</x:v>
      </x:c>
      <x:c r="L28" s="115" t="str"/>
    </x:row>
    <x:row r="29" ht="64" customHeight="1">
      <x:c r="A29" s="82" t="str">
        <x:v>КИС 5</x:v>
      </x:c>
      <x:c r="B29" s="82" t="str">
        <x:v>25</x:v>
      </x:c>
      <x:c r="C29" s="81" t="str">
        <x:v>Инженерно-учётная группа</x:v>
      </x:c>
      <x:c r="D29" s="82" t="str">
        <x:v>По графикам должностей</x:v>
      </x:c>
      <x:c r="E29" s="103" t="str">
        <x:v>Никифоров К.В.
Техник по учету
бригада №2</x:v>
      </x:c>
      <x:c r="F29" s="103" t="str">
        <x:v>Новородонов В.Ю.
Начальник участка
бригада №2</x:v>
      </x:c>
      <x:c r="G29" s="106" t="str">
        <x:v>Пермяков Ю.С.
Машинист бульдозера
бригада №4
ПРОВЕРИТЬ ЗАКРЕПЛЕНИЕ</x:v>
      </x:c>
      <x:c r="H29" s="103" t="str">
        <x:v>null
Машинист экскаватора</x:v>
      </x:c>
      <x:c r="I29" s="103" t="str">
        <x:v>null
Водитель легкового автомобиля</x:v>
      </x:c>
      <x:c r="J29" s="103" t="str">
        <x:v>null
Водитель самосвала</x:v>
      </x:c>
      <x:c r="K29" s="104" t="str">
        <x:v>Проверить закрепления</x:v>
      </x:c>
      <x:c r="L29" s="115" t="str">
        <x:v>1 закрепл. подтвердить</x:v>
      </x:c>
    </x:row>
    <x:row r="30" ht="64" customHeight="1">
      <x:c r="A30" s="82" t="str">
        <x:v>КИС 5</x:v>
      </x:c>
      <x:c r="B30" s="82" t="str">
        <x:v>26</x:v>
      </x:c>
      <x:c r="C30" s="81" t="str">
        <x:v>Механическая служба и ИТР</x:v>
      </x:c>
      <x:c r="D30" s="82" t="str">
        <x:v>По графикам должностей</x:v>
      </x:c>
      <x:c r="E30" s="103" t="str">
        <x:v>Крылов Н.А.
Механик по ремонту экскаваторов
бригада №3</x:v>
      </x:c>
      <x:c r="F30" s="103" t="str">
        <x:v>Макеев Е.А.
Механик по выпуску и ремонту горно-тр…
бригада №4</x:v>
      </x:c>
      <x:c r="G30" s="103" t="str">
        <x:v>Семушкин С.В.
Механик по ремонту вспомогательной те…
бригада №3</x:v>
      </x:c>
      <x:c r="H30" s="103" t="str">
        <x:v>Яцусь И.В.
Механик по ремонту технологических са…
бригада №3</x:v>
      </x:c>
      <x:c r="I30" s="103" t="str">
        <x:v>null
Механик по ремонту технологических са…</x:v>
      </x:c>
      <x:c r="J30" s="103" t="str">
        <x:v>null
Механик по ремонту экскаваторов</x:v>
      </x:c>
      <x:c r="K30" s="107" t="str">
        <x:v>Структурно допустимо</x:v>
      </x:c>
      <x:c r="L30" s="115" t="str"/>
    </x:row>
    <x:row r="31" ht="64" customHeight="1">
      <x:c r="A31" s="82" t="str">
        <x:v>КИС 5</x:v>
      </x:c>
      <x:c r="B31" s="82" t="str">
        <x:v>27</x:v>
      </x:c>
      <x:c r="C31" s="81" t="str">
        <x:v>Оперативное руководство и диспетчерская группа</x:v>
      </x:c>
      <x:c r="D31" s="82" t="str">
        <x:v>По графикам должностей</x:v>
      </x:c>
      <x:c r="E31" s="103" t="str">
        <x:v>Арбузов В.Л.
Старший горный мастер
бригада №2</x:v>
      </x:c>
      <x:c r="F31" s="103" t="str">
        <x:v>Зарубин Е.В.
Диспетчер ГТО
бригада №3</x:v>
      </x:c>
      <x:c r="G31" s="103" t="str">
        <x:v>Миллер В.М.
Горный мастер
бригада №4</x:v>
      </x:c>
      <x:c r="H31" s="103" t="str">
        <x:v>Черногаев А.В.
Горный мастер
бригада №3</x:v>
      </x:c>
      <x:c r="I31" s="103" t="str">
        <x:v>null
Водитель самосвала</x:v>
      </x:c>
      <x:c r="J31" s="103" t="str">
        <x:v>null
Водитель самосвала</x:v>
      </x:c>
      <x:c r="K31" s="107" t="str">
        <x:v>Структурно допустимо</x:v>
      </x:c>
      <x:c r="L31" s="115" t="str"/>
    </x:row>
    <x:row r="32" ht="64" customHeight="1">
      <x:c r="A32" s="82" t="str">
        <x:v>КИС 5</x:v>
      </x:c>
      <x:c r="B32" s="82" t="str">
        <x:v>28</x:v>
      </x:c>
      <x:c r="C32" s="81" t="str">
        <x:v>Особые графики и совместимые должности</x:v>
      </x:c>
      <x:c r="D32" s="82" t="str">
        <x:v>Особый — по датам</x:v>
      </x:c>
      <x:c r="E32" s="103" t="str">
        <x:v>null
ОТ/ПБ/БДД и Совместимый ИТР</x:v>
      </x:c>
      <x:c r="F32" s="106" t="str">
        <x:v>Юшков А.В.
ОТ/ПБ/БДД и Совместимый ИТР
бригада №2
ПРОВЕРИТЬ ЗАКРЕПЛЕНИЕ</x:v>
      </x:c>
      <x:c r="G32" s="86" t="str">
        <x:v>ОСОБЫЙ ГРАФИК
нужны даты</x:v>
      </x:c>
      <x:c r="H32" s="103" t="str">
        <x:v>null
ОТ/ПБ/БДД и Совместимый ИТР</x:v>
      </x:c>
      <x:c r="I32" s="103" t="str">
        <x:v>null
ОТ/ПБ/БДД и Совместимый ИТР</x:v>
      </x:c>
      <x:c r="J32" s="86" t="str">
        <x:v>ОСОБЫЙ ГРАФИК
нужны даты</x:v>
      </x:c>
      <x:c r="K32" s="108" t="str">
        <x:v>Даты + закрепления</x:v>
      </x:c>
      <x:c r="L32" s="115" t="str">
        <x:v>1 закрепл. подтвердить; 2 особый график — нужны даты</x:v>
      </x:c>
    </x:row>
    <x:row r="33" ht="64" customHeight="1">
      <x:c r="A33" s="82" t="str">
        <x:v>КИС 5</x:v>
      </x:c>
      <x:c r="B33" s="82" t="str">
        <x:v>36</x:v>
      </x:c>
      <x:c r="C33" s="81" t="str">
        <x:v>Руководители совместимого уровня</x:v>
      </x:c>
      <x:c r="D33" s="82" t="str">
        <x:v>По графикам должностей</x:v>
      </x:c>
      <x:c r="E33" s="103" t="str">
        <x:v>null
Руководящая должность</x:v>
      </x:c>
      <x:c r="F33" s="111" t="str">
        <x:v>КОЙКИ НЕТ</x:v>
      </x:c>
      <x:c r="G33" s="111" t="str">
        <x:v>КОЙКИ НЕТ</x:v>
      </x:c>
      <x:c r="H33" s="111" t="str">
        <x:v>КОЙКИ НЕТ</x:v>
      </x:c>
      <x:c r="I33" s="103" t="str">
        <x:v>Тарасов Д.С.
руководящая должность сопоставимого у…
бригада №2</x:v>
      </x:c>
      <x:c r="J33" s="111" t="str">
        <x:v>КОЙКИ НЕТ</x:v>
      </x:c>
      <x:c r="K33" s="107" t="str">
        <x:v>Защищено</x:v>
      </x:c>
      <x:c r="L33" s="115" t="str"/>
    </x:row>
    <x:row r="34" ht="64" customHeight="1">
      <x:c r="A34" s="82" t="str">
        <x:v>КИС 5</x:v>
      </x:c>
      <x:c r="B34" s="82" t="str">
        <x:v>37</x:v>
      </x:c>
      <x:c r="C34" s="81" t="str">
        <x:v>Руководители совместимого уровня</x:v>
      </x:c>
      <x:c r="D34" s="82" t="str">
        <x:v>По графикам должностей</x:v>
      </x:c>
      <x:c r="E34" s="103" t="str">
        <x:v>Косарев А.Н.
руководящая должность сопоставимого у…
бригада №2</x:v>
      </x:c>
      <x:c r="F34" s="111" t="str">
        <x:v>КОЙКИ НЕТ</x:v>
      </x:c>
      <x:c r="G34" s="111" t="str">
        <x:v>КОЙКИ НЕТ</x:v>
      </x:c>
      <x:c r="H34" s="111" t="str">
        <x:v>КОЙКИ НЕТ</x:v>
      </x:c>
      <x:c r="I34" s="103" t="str">
        <x:v>Стешенко В.В.
руководящая должность сопоставимого у…
бригада №2</x:v>
      </x:c>
      <x:c r="J34" s="111" t="str">
        <x:v>КОЙКИ НЕТ</x:v>
      </x:c>
      <x:c r="K34" s="107" t="str">
        <x:v>Защищено</x:v>
      </x:c>
      <x:c r="L34" s="115" t="str"/>
    </x:row>
    <x:row r="35" ht="64" customHeight="1">
      <x:c r="A35" s="85" t="str">
        <x:v>КИС 5</x:v>
      </x:c>
      <x:c r="B35" s="85" t="str">
        <x:v>38</x:v>
      </x:c>
      <x:c r="C35" s="86" t="str">
        <x:v>Командировки высшего руководства</x:v>
      </x:c>
      <x:c r="D35" s="85" t="str">
        <x:v>По графикам должностей</x:v>
      </x:c>
      <x:c r="E35" s="86" t="str">
        <x:v>РЕЗЕРВ КОМАНДИРОВОК
постоянно не заселять</x:v>
      </x:c>
      <x:c r="F35" s="112" t="str">
        <x:v>КОЙКИ НЕТ</x:v>
      </x:c>
      <x:c r="G35" s="112" t="str">
        <x:v>КОЙКИ НЕТ</x:v>
      </x:c>
      <x:c r="H35" s="112" t="str">
        <x:v>КОЙКИ НЕТ</x:v>
      </x:c>
      <x:c r="I35" s="86" t="str">
        <x:v>РЕЗЕРВ КОМАНДИРОВОК
постоянно не заселять</x:v>
      </x:c>
      <x:c r="J35" s="112" t="str">
        <x:v>КОЙКИ НЕТ</x:v>
      </x:c>
      <x:c r="K35" s="108" t="str">
        <x:v>Защищено</x:v>
      </x:c>
      <x:c r="L35" s="115" t="str"/>
    </x:row>
    <x:row r="36" ht="64" customHeight="1">
      <x:c r="A36" s="82" t="str">
        <x:v>КИС 6</x:v>
      </x:c>
      <x:c r="B36" s="82" t="str">
        <x:v>01</x:v>
      </x:c>
      <x:c r="C36" s="81" t="str">
        <x:v>Техника: ПРМ №035, Автокран №239, КАМАЗ с КМУ №185</x:v>
      </x:c>
      <x:c r="D36" s="82" t="str">
        <x:v>По графикам должностей</x:v>
      </x:c>
      <x:c r="E36" s="106" t="str">
        <x:v>Баляев Д.В.
ПРМ №035
бригада №3
ПРОВЕРИТЬ ЗАКРЕПЛЕНИЕ</x:v>
      </x:c>
      <x:c r="F36" s="106" t="str">
        <x:v>Нестеров В.Н.
Автокран №239
бригада №3
ПРОВЕРИТЬ ЗАКРЕПЛЕНИЕ</x:v>
      </x:c>
      <x:c r="G36" s="106" t="str">
        <x:v>Киреев А.В.
КАМАЗ с КМУ №185
бригада №4
ПРОВЕРИТЬ ЗАКРЕПЛЕНИЕ</x:v>
      </x:c>
      <x:c r="H36" s="106" t="str">
        <x:v>Мирюгин С.А.
ПРМ №035
бригада №4
ПРОВЕРИТЬ ЗАКРЕПЛЕНИЕ</x:v>
      </x:c>
      <x:c r="I36" s="106" t="str">
        <x:v>Стус Е.А.
Автокран №239
бригада №4
ПРОВЕРИТЬ ЗАКРЕПЛЕНИЕ</x:v>
      </x:c>
      <x:c r="J36" s="106" t="str">
        <x:v>Жарких С.В.
КАМАЗ с КМУ №185
бригада №3
ПРОВЕРИТЬ ЗАКРЕПЛЕНИЕ</x:v>
      </x:c>
      <x:c r="K36" s="104" t="str">
        <x:v>Проверить закрепления</x:v>
      </x:c>
      <x:c r="L36" s="115" t="str">
        <x:v>6 закрепл. подтвердить</x:v>
      </x:c>
    </x:row>
    <x:row r="37" ht="64" customHeight="1">
      <x:c r="A37" s="82" t="str">
        <x:v>КИС 6</x:v>
      </x:c>
      <x:c r="B37" s="82" t="str">
        <x:v>02</x:v>
      </x:c>
      <x:c r="C37" s="81" t="str">
        <x:v>Техника: Вахтовый автобус №007, Вахтовый автобус №103, Вахтовый автобус №149</x:v>
      </x:c>
      <x:c r="D37" s="82" t="str">
        <x:v>По графикам должностей</x:v>
      </x:c>
      <x:c r="E37" s="114" t="str">
        <x:v>Вяжев С.М.
Временно занимает место Вахтовый авто…
бригада №3
ВРЕМЕННОЕ МЕСТО</x:v>
      </x:c>
      <x:c r="F37" s="106" t="str">
        <x:v>Левченко А.И.
Вахтовый автобус №103
бригада №4
ПРОВЕРИТЬ ЗАКРЕПЛЕНИЕ</x:v>
      </x:c>
      <x:c r="G37" s="106" t="str">
        <x:v>Белов В.Н.
Вахтовый автобус №149
бригада №3
ПРОВЕРИТЬ ЗАКРЕПЛЕНИЕ</x:v>
      </x:c>
      <x:c r="H37" s="109" t="str">
        <x:v>Вахтовый автобус №007
ВАКАНСИЯ
место сохраняется</x:v>
      </x:c>
      <x:c r="I37" s="109" t="str">
        <x:v>Вахтовый автобус №103
ВАКАНСИЯ
место сохраняется</x:v>
      </x:c>
      <x:c r="J37" s="109" t="str">
        <x:v>Вахтовый автобус №149
ВАКАНСИЯ
место сохраняется</x:v>
      </x:c>
      <x:c r="K37" s="104" t="str">
        <x:v>Проверить закрепления</x:v>
      </x:c>
      <x:c r="L37" s="115" t="str">
        <x:v>2 закрепл. подтвердить; 1 временное место</x:v>
      </x:c>
    </x:row>
    <x:row r="38" ht="64" customHeight="1">
      <x:c r="A38" s="82" t="str">
        <x:v>КИС 6</x:v>
      </x:c>
      <x:c r="B38" s="82" t="str">
        <x:v>03</x:v>
      </x:c>
      <x:c r="C38" s="81" t="str">
        <x:v>Техника: Топливозаправщик №194, Топливозаправщик №222, Топливозаправщик №286</x:v>
      </x:c>
      <x:c r="D38" s="82" t="str">
        <x:v>По графикам должностей</x:v>
      </x:c>
      <x:c r="E38" s="106" t="str">
        <x:v>Каплан В.А.
Топливозаправщик №194
бригада №3
ПРОВЕРИТЬ ЗАКРЕПЛЕНИЕ</x:v>
      </x:c>
      <x:c r="F38" s="109" t="str">
        <x:v>Топливозаправщик №222
ВАКАНСИЯ
место сохраняется</x:v>
      </x:c>
      <x:c r="G38" s="114" t="str">
        <x:v>Толмашов В.В.
Временно занимает место Топливозаправ…
бригада №4
ВРЕМЕННОЕ МЕСТО</x:v>
      </x:c>
      <x:c r="H38" s="106" t="str">
        <x:v>Полулих И.Б.
Топливозаправщик №194
бригада №3
ПРОВЕРИТЬ ЗАКРЕПЛЕНИЕ</x:v>
      </x:c>
      <x:c r="I38" s="114" t="str">
        <x:v>Соловьев Л.И.
Временно занимает место Топливозаправ…
бригада №4
ВРЕМЕННОЕ МЕСТО</x:v>
      </x:c>
      <x:c r="J38" s="109" t="str">
        <x:v>Топливозаправщик №286
ВАКАНСИЯ
место сохраняется</x:v>
      </x:c>
      <x:c r="K38" s="104" t="str">
        <x:v>Проверить закрепления</x:v>
      </x:c>
      <x:c r="L38" s="115" t="str">
        <x:v>2 закрепл. подтвердить; 2 временное место</x:v>
      </x:c>
    </x:row>
    <x:row r="39" ht="64" customHeight="1">
      <x:c r="A39" s="82" t="str">
        <x:v>КИС 6</x:v>
      </x:c>
      <x:c r="B39" s="82" t="str">
        <x:v>05</x:v>
      </x:c>
      <x:c r="C39" s="81" t="str">
        <x:v>Техника: КДМ №003, КДМ №055, КДМ №061</x:v>
      </x:c>
      <x:c r="D39" s="82" t="str">
        <x:v>По графикам должностей</x:v>
      </x:c>
      <x:c r="E39" s="109" t="str">
        <x:v>КДМ №003
ВАКАНСИЯ
место сохраняется</x:v>
      </x:c>
      <x:c r="F39" s="109" t="str">
        <x:v>КДМ №055
ВАКАНСИЯ
место сохраняется</x:v>
      </x:c>
      <x:c r="G39" s="106" t="str">
        <x:v>Суслов А.О.
КДМ №061
бригада №4
ПРОВЕРИТЬ ЗАКРЕПЛЕНИЕ</x:v>
      </x:c>
      <x:c r="H39" s="109" t="str">
        <x:v>КДМ №003
ВАКАНСИЯ
место сохраняется</x:v>
      </x:c>
      <x:c r="I39" s="106" t="str">
        <x:v>Шакиров Ф.Г.
КДМ №055
бригада №3
ПРОВЕРИТЬ ЗАКРЕПЛЕНИЕ</x:v>
      </x:c>
      <x:c r="J39" s="106" t="str">
        <x:v>Останин И.В.
КДМ №061
бригада №3
ПРОВЕРИТЬ ЗАКРЕПЛЕНИЕ</x:v>
      </x:c>
      <x:c r="K39" s="104" t="str">
        <x:v>Проверить закрепления</x:v>
      </x:c>
      <x:c r="L39" s="115" t="str">
        <x:v>3 закрепл. подтвердить</x:v>
      </x:c>
    </x:row>
    <x:row r="40" ht="64" customHeight="1">
      <x:c r="A40" s="82" t="str">
        <x:v>КИС 6</x:v>
      </x:c>
      <x:c r="B40" s="82" t="str">
        <x:v>06</x:v>
      </x:c>
      <x:c r="C40" s="81" t="str">
        <x:v>Техника: КДМ №207, Экскаватор №1, Экскаватор №2</x:v>
      </x:c>
      <x:c r="D40" s="82" t="str">
        <x:v>По графикам должностей</x:v>
      </x:c>
      <x:c r="E40" s="109" t="str">
        <x:v>КДМ №207
ВАКАНСИЯ
место сохраняется</x:v>
      </x:c>
      <x:c r="F40" s="106" t="str">
        <x:v>Горносталёв М.А.
Экскаватор №1
бригада №4
ПРОВЕРИТЬ ЗАКРЕПЛЕНИЕ</x:v>
      </x:c>
      <x:c r="G40" s="106" t="str">
        <x:v>Тухватуллин А.Д.
Экскаватор №2
бригада №3
ПРОВЕРИТЬ ЗАКРЕПЛЕНИЕ</x:v>
      </x:c>
      <x:c r="H40" s="109" t="str">
        <x:v>КДМ №207
ВАКАНСИЯ
место сохраняется</x:v>
      </x:c>
      <x:c r="I40" s="106" t="str">
        <x:v>Аристов С.А.
Экскаватор №1
бригада №4
ПРОВЕРИТЬ ЗАКРЕПЛЕНИЕ</x:v>
      </x:c>
      <x:c r="J40" s="106" t="str">
        <x:v>Ватан Р.К.
Экскаватор №2
бригада №4
ПРОВЕРИТЬ ЗАКРЕПЛЕНИЕ</x:v>
      </x:c>
      <x:c r="K40" s="104" t="str">
        <x:v>Проверить закрепления</x:v>
      </x:c>
      <x:c r="L40" s="115" t="str">
        <x:v>4 закрепл. подтвердить</x:v>
      </x:c>
    </x:row>
    <x:row r="41" ht="64" customHeight="1">
      <x:c r="A41" s="82" t="str">
        <x:v>КИС 6</x:v>
      </x:c>
      <x:c r="B41" s="82" t="str">
        <x:v>08</x:v>
      </x:c>
      <x:c r="C41" s="81" t="str">
        <x:v>Техника: Экскаватор №3, Экскаватор №4, Экскаватор №5</x:v>
      </x:c>
      <x:c r="D41" s="82" t="str">
        <x:v>По графикам должностей</x:v>
      </x:c>
      <x:c r="E41" s="106" t="str">
        <x:v>Зайцев Н.В.
Экскаватор №3
бригада №4
ПРОВЕРИТЬ ЗАКРЕПЛЕНИЕ</x:v>
      </x:c>
      <x:c r="F41" s="106" t="str">
        <x:v>Кутлин С.Ю.
Экскаватор №4
бригада №4
ПРОВЕРИТЬ ЗАКРЕПЛЕНИЕ</x:v>
      </x:c>
      <x:c r="G41" s="106" t="str">
        <x:v>Кортунков А.И.
Экскаватор №5
бригада №4
ПРОВЕРИТЬ ЗАКРЕПЛЕНИЕ</x:v>
      </x:c>
      <x:c r="H41" s="106" t="str">
        <x:v>Жданов И.В.
Экскаватор №3
бригада №3
ПРОВЕРИТЬ ЗАКРЕПЛЕНИЕ</x:v>
      </x:c>
      <x:c r="I41" s="106" t="str">
        <x:v>Пакулов Е.А.
Экскаватор №4
бригада №3
ПРОВЕРИТЬ ЗАКРЕПЛЕНИЕ</x:v>
      </x:c>
      <x:c r="J41" s="106" t="str">
        <x:v>Хмельницкий П.М.
Экскаватор №5
бригада №3
ПРОВЕРИТЬ ЗАКРЕПЛЕНИЕ</x:v>
      </x:c>
      <x:c r="K41" s="104" t="str">
        <x:v>Проверить закрепления</x:v>
      </x:c>
      <x:c r="L41" s="115" t="str">
        <x:v>6 закрепл. подтвердить</x:v>
      </x:c>
    </x:row>
    <x:row r="42" ht="64" customHeight="1">
      <x:c r="A42" s="82" t="str">
        <x:v>КИС 6</x:v>
      </x:c>
      <x:c r="B42" s="82" t="str">
        <x:v>09</x:v>
      </x:c>
      <x:c r="C42" s="81" t="str">
        <x:v>Техника: Экскаватор №6, Экскаватор №7, Экскаватор №8</x:v>
      </x:c>
      <x:c r="D42" s="82" t="str">
        <x:v>По графикам должностей</x:v>
      </x:c>
      <x:c r="E42" s="106" t="str">
        <x:v>Кунилов А.В.
Экскаватор №6
бригада №4
ПРОВЕРИТЬ ЗАКРЕПЛЕНИЕ</x:v>
      </x:c>
      <x:c r="F42" s="106" t="str">
        <x:v>Константиновский В.Н.
Экскаватор №7
бригада №3
ПРОВЕРИТЬ ЗАКРЕПЛЕНИЕ</x:v>
      </x:c>
      <x:c r="G42" s="106" t="str">
        <x:v>Искужин А.Ю.
Экскаватор №8
бригада №3
ПРОВЕРИТЬ ЗАКРЕПЛЕНИЕ</x:v>
      </x:c>
      <x:c r="H42" s="106" t="str">
        <x:v>Шехин А.С.
Экскаватор №6
бригада №3
ПРОВЕРИТЬ ЗАКРЕПЛЕНИЕ</x:v>
      </x:c>
      <x:c r="I42" s="106" t="str">
        <x:v>Шумилов А.И.
Экскаватор №7
бригада №4
ПРОВЕРИТЬ ЗАКРЕПЛЕНИЕ</x:v>
      </x:c>
      <x:c r="J42" s="106" t="str">
        <x:v>Кравец А.С.
Экскаватор №8
бригада №3
ПРОВЕРИТЬ ЗАКРЕПЛЕНИЕ</x:v>
      </x:c>
      <x:c r="K42" s="104" t="str">
        <x:v>Проверить закрепления</x:v>
      </x:c>
      <x:c r="L42" s="115" t="str">
        <x:v>6 закрепл. подтвердить</x:v>
      </x:c>
    </x:row>
    <x:row r="43" ht="64" customHeight="1">
      <x:c r="A43" s="82" t="str">
        <x:v>КИС 6</x:v>
      </x:c>
      <x:c r="B43" s="82" t="str">
        <x:v>10</x:v>
      </x:c>
      <x:c r="C43" s="81" t="str">
        <x:v>Техника: Экскаватор-планировщик №835, Экскаватор-планировщик №836, Экскаватор-планировщик №821</x:v>
      </x:c>
      <x:c r="D43" s="82" t="str">
        <x:v>По графикам должностей</x:v>
      </x:c>
      <x:c r="E43" s="106" t="str">
        <x:v>Нестерюк О.В.
Экскаватор-планировщик №835
бригада №4
ПРОВЕРИТЬ ЗАКРЕПЛЕНИЕ</x:v>
      </x:c>
      <x:c r="F43" s="106" t="str">
        <x:v>Барбель В.Н.
Экскаватор-планировщик №836
бригада №4
ПРОВЕРИТЬ ЗАКРЕПЛЕНИЕ</x:v>
      </x:c>
      <x:c r="G43" s="106" t="str">
        <x:v>Горбачев Р.Г.
Экскаватор-планировщик №821
бригада №4
ПРОВЕРИТЬ ЗАКРЕПЛЕНИЕ</x:v>
      </x:c>
      <x:c r="H43" s="106" t="str">
        <x:v>Фадеев Д.И.
Экскаватор-планировщик №835
бригада №3
ПРОВЕРИТЬ ЗАКРЕПЛЕНИЕ</x:v>
      </x:c>
      <x:c r="I43" s="106" t="str">
        <x:v>Булычев Ю.А.
Экскаватор-планировщик №836
бригада №4
ПРОВЕРИТЬ ЗАКРЕПЛЕНИЕ</x:v>
      </x:c>
      <x:c r="J43" s="106" t="str">
        <x:v>Галлямов Ф.Т.
Экскаватор-планировщик №821
бригада №3
ПРОВЕРИТЬ ЗАКРЕПЛЕНИЕ</x:v>
      </x:c>
      <x:c r="K43" s="104" t="str">
        <x:v>Проверить закрепления</x:v>
      </x:c>
      <x:c r="L43" s="115" t="str">
        <x:v>6 закрепл. подтвердить</x:v>
      </x:c>
    </x:row>
    <x:row r="44" ht="64" customHeight="1">
      <x:c r="A44" s="82" t="str">
        <x:v>КИС 6</x:v>
      </x:c>
      <x:c r="B44" s="82" t="str">
        <x:v>11</x:v>
      </x:c>
      <x:c r="C44" s="81" t="str">
        <x:v>Техника: Экскаватор-планировщик №820, Гусеничный бульдозер №1, Гусеничный бульдозер №2</x:v>
      </x:c>
      <x:c r="D44" s="82" t="str">
        <x:v>По графикам должностей</x:v>
      </x:c>
      <x:c r="E44" s="106" t="str">
        <x:v>Лопатин Д.А.
Экскаватор-планировщик №820
бригада №3
ПРОВЕРИТЬ ЗАКРЕПЛЕНИЕ</x:v>
      </x:c>
      <x:c r="F44" s="106" t="str">
        <x:v>Гулидов А.И.
Гусеничный бульдозер №1
бригада №4
ПРОВЕРИТЬ ЗАКРЕПЛЕНИЕ</x:v>
      </x:c>
      <x:c r="G44" s="106" t="str">
        <x:v>Мелин И.Н.
Гусеничный бульдозер №2
бригада №3
ПРОВЕРИТЬ ЗАКРЕПЛЕНИЕ</x:v>
      </x:c>
      <x:c r="H44" s="106" t="str">
        <x:v>Бояринцев Е.Н.
Экскаватор-планировщик №820
бригада №3
ПРОВЕРИТЬ ЗАКРЕПЛЕНИЕ</x:v>
      </x:c>
      <x:c r="I44" s="106" t="str">
        <x:v>Дейс М.М.
Гусеничный бульдозер №1
бригада №3
ПРОВЕРИТЬ ЗАКРЕПЛЕНИЕ</x:v>
      </x:c>
      <x:c r="J44" s="106" t="str">
        <x:v>Мисар И.П.
Гусеничный бульдозер №2
бригада №4
ПРОВЕРИТЬ ЗАКРЕПЛЕНИЕ</x:v>
      </x:c>
      <x:c r="K44" s="104" t="str">
        <x:v>Проверить закрепления</x:v>
      </x:c>
      <x:c r="L44" s="115" t="str">
        <x:v>6 закрепл. подтвердить</x:v>
      </x:c>
    </x:row>
    <x:row r="45" ht="64" customHeight="1">
      <x:c r="A45" s="82" t="str">
        <x:v>КИС 6</x:v>
      </x:c>
      <x:c r="B45" s="82" t="str">
        <x:v>40</x:v>
      </x:c>
      <x:c r="C45" s="81" t="str">
        <x:v>Техника: Гусеничный бульдозер №3, Гусеничный бульдозер №4, Колёсный бульдозер №1</x:v>
      </x:c>
      <x:c r="D45" s="82" t="str">
        <x:v>По графикам должностей</x:v>
      </x:c>
      <x:c r="E45" s="106" t="str">
        <x:v>Осипов А.А.
Гусеничный бульдозер №3
бригада №4
ПРОВЕРИТЬ ЗАКРЕПЛЕНИЕ</x:v>
      </x:c>
      <x:c r="F45" s="106" t="str">
        <x:v>Езоян Н.В.
Гусеничный бульдозер №4
бригада №3
ПРОВЕРИТЬ ЗАКРЕПЛЕНИЕ</x:v>
      </x:c>
      <x:c r="G45" s="106" t="str">
        <x:v>Ракевич В.С.
Колёсный бульдозер №1
бригада №3
ПРОВЕРИТЬ ЗАКРЕПЛЕНИЕ</x:v>
      </x:c>
      <x:c r="H45" s="106" t="str">
        <x:v>Стадников И.О.
Гусеничный бульдозер №3
бригада №4
ПРОВЕРИТЬ ЗАКРЕПЛЕНИЕ</x:v>
      </x:c>
      <x:c r="I45" s="106" t="str">
        <x:v>Забелин Р.А.
Гусеничный бульдозер №4
бригада №4
ПРОВЕРИТЬ ЗАКРЕПЛЕНИЕ</x:v>
      </x:c>
      <x:c r="J45" s="106" t="str">
        <x:v>Калинкин Е.В.
Колёсный бульдозер №1
бригада №4
ПРОВЕРИТЬ ЗАКРЕПЛЕНИЕ</x:v>
      </x:c>
      <x:c r="K45" s="104" t="str">
        <x:v>Проверить закрепления</x:v>
      </x:c>
      <x:c r="L45" s="115" t="str">
        <x:v>6 закрепл. подтвердить</x:v>
      </x:c>
    </x:row>
    <x:row r="46" ht="64" customHeight="1">
      <x:c r="A46" s="82" t="str">
        <x:v>КИС 6</x:v>
      </x:c>
      <x:c r="B46" s="82" t="str">
        <x:v>41</x:v>
      </x:c>
      <x:c r="C46" s="81" t="str">
        <x:v>Техника: Колёсный бульдозер №2, Вилочный погрузчик №8840ХА27, Фронтальный погрузчик №8823</x:v>
      </x:c>
      <x:c r="D46" s="82" t="str">
        <x:v>По графикам должностей</x:v>
      </x:c>
      <x:c r="E46" s="106" t="str">
        <x:v>Мазитов А.А.
Колёсный бульдозер №2
бригада №4
ПРОВЕРИТЬ ЗАКРЕПЛЕНИЕ</x:v>
      </x:c>
      <x:c r="F46" s="106" t="str">
        <x:v>Белов А.Ю.
Вилочный погрузчик №8840ХА27
бригада №3
ПРОВЕРИТЬ ЗАКРЕПЛЕНИЕ</x:v>
      </x:c>
      <x:c r="G46" s="109" t="str">
        <x:v>Фронтальный погрузчик №8823
ВАКАНСИЯ
место сохраняется</x:v>
      </x:c>
      <x:c r="H46" s="106" t="str">
        <x:v>Короц Я.Г.
Колёсный бульдозер №2
бригада №3
ПРОВЕРИТЬ ЗАКРЕПЛЕНИЕ</x:v>
      </x:c>
      <x:c r="I46" s="106" t="str">
        <x:v>Яворский К.Е.
Вилочный погрузчик №8840ХА27
бригада №3
ПРОВЕРИТЬ ЗАКРЕПЛЕНИЕ</x:v>
      </x:c>
      <x:c r="J46" s="109" t="str">
        <x:v>Фронтальный погрузчик №8823
ВАКАНСИЯ
место сохраняется</x:v>
      </x:c>
      <x:c r="K46" s="104" t="str">
        <x:v>Проверить закрепления</x:v>
      </x:c>
      <x:c r="L46" s="115" t="str">
        <x:v>4 закрепл. подтвердить</x:v>
      </x:c>
    </x:row>
    <x:row r="47" ht="64" customHeight="1">
      <x:c r="A47" s="82" t="str">
        <x:v>КИС 6</x:v>
      </x:c>
      <x:c r="B47" s="82" t="str">
        <x:v>42</x:v>
      </x:c>
      <x:c r="C47" s="81" t="str">
        <x:v>Техника: Телескопический погрузчик №8837, Телескопический погрузчик №8838, Автогрейдер №1</x:v>
      </x:c>
      <x:c r="D47" s="82" t="str">
        <x:v>По графикам должностей</x:v>
      </x:c>
      <x:c r="E47" s="109" t="str">
        <x:v>Телескопический погрузчик №8837
ВАКАНСИЯ
место сохраняется</x:v>
      </x:c>
      <x:c r="F47" s="109" t="str">
        <x:v>Телескопический погрузчик №8838
ВАКАНСИЯ
место сохраняется</x:v>
      </x:c>
      <x:c r="G47" s="106" t="str">
        <x:v>Махалов Е.А.
Автогрейдер №1
бригада №4
ПРОВЕРИТЬ ЗАКРЕПЛЕНИЕ</x:v>
      </x:c>
      <x:c r="H47" s="109" t="str">
        <x:v>Телескопический погрузчик №8837
ВАКАНСИЯ
место сохраняется</x:v>
      </x:c>
      <x:c r="I47" s="109" t="str">
        <x:v>Телескопический погрузчик №8838
ВАКАНСИЯ
место сохраняется</x:v>
      </x:c>
      <x:c r="J47" s="109" t="str">
        <x:v>Автогрейдер №1
ВАКАНСИЯ
место сохраняется</x:v>
      </x:c>
      <x:c r="K47" s="104" t="str">
        <x:v>Проверить закрепления</x:v>
      </x:c>
      <x:c r="L47" s="115" t="str">
        <x:v>1 закрепл. подтвердить</x:v>
      </x:c>
    </x:row>
    <x:row r="48" ht="64" customHeight="1">
      <x:c r="A48" s="82" t="str">
        <x:v>КИС 6</x:v>
      </x:c>
      <x:c r="B48" s="82" t="str">
        <x:v>43</x:v>
      </x:c>
      <x:c r="C48" s="81" t="str">
        <x:v>Техника: Автогрейдер №2, Каток №8184ХА27; Водитель автомобиля, занятый на транспортировании горной массы в технологическом процессе</x:v>
      </x:c>
      <x:c r="D48" s="82" t="str">
        <x:v>По графикам должностей</x:v>
      </x:c>
      <x:c r="E48" s="106" t="str">
        <x:v>Куник П.П.
Автогрейдер №2
бригада №4
ПРОВЕРИТЬ ЗАКРЕПЛЕНИЕ</x:v>
      </x:c>
      <x:c r="F48" s="106" t="str">
        <x:v>Оленев И.Е.
Каток №8184ХА27
бригада №3
ПРОВЕРИТЬ ЗАКРЕПЛЕНИЕ</x:v>
      </x:c>
      <x:c r="G48" s="103" t="str">
        <x:v>null
Водитель самосвала</x:v>
      </x:c>
      <x:c r="H48" s="109" t="str">
        <x:v>Автогрейдер №2
ВАКАНСИЯ
место сохраняется</x:v>
      </x:c>
      <x:c r="I48" s="109" t="str">
        <x:v>Каток №8184ХА27
ВАКАНСИЯ
место сохраняется</x:v>
      </x:c>
      <x:c r="J48" s="103" t="str">
        <x:v>null
Водитель самосвала</x:v>
      </x:c>
      <x:c r="K48" s="104" t="str">
        <x:v>Проверить закрепления</x:v>
      </x:c>
      <x:c r="L48" s="115" t="str">
        <x:v>2 закрепл. подтвердить</x:v>
      </x:c>
    </x:row>
    <x:row r="49" ht="64" customHeight="1">
      <x:c r="A49" s="82" t="str">
        <x:v>КИС 6</x:v>
      </x:c>
      <x:c r="B49" s="82" t="str">
        <x:v>44</x:v>
      </x:c>
      <x:c r="C49" s="81" t="str">
        <x:v>Водители легкового транспорта — единая группа</x:v>
      </x:c>
      <x:c r="D49" s="82" t="str">
        <x:v>Особый — по датам</x:v>
      </x:c>
      <x:c r="E49" s="109" t="str">
        <x:v>Водители легкового транспорта — едина…
ВАКАНСИЯ
место сохраняется</x:v>
      </x:c>
      <x:c r="F49" s="103" t="str">
        <x:v>Удовенко В.А.
Водители легкового транспорта — едина…
бригада №4</x:v>
      </x:c>
      <x:c r="G49" s="109" t="str">
        <x:v>Водители легкового транспорта — едина…
ВАКАНСИЯ
место сохраняется</x:v>
      </x:c>
      <x:c r="H49" s="86" t="str">
        <x:v>ОСОБЫЙ ГРАФИК
нужны даты</x:v>
      </x:c>
      <x:c r="I49" s="86" t="str">
        <x:v>ОСОБЫЙ ГРАФИК
нужны даты</x:v>
      </x:c>
      <x:c r="J49" s="109" t="str">
        <x:v>Водители легкового транспорта — едина…
ВАКАНСИЯ
место сохраняется</x:v>
      </x:c>
      <x:c r="K49" s="104" t="str">
        <x:v>Проверить даты</x:v>
      </x:c>
      <x:c r="L49" s="115" t="str">
        <x:v>2 особый график — нужны даты</x:v>
      </x:c>
    </x:row>
    <x:row r="50" ht="64" customHeight="1">
      <x:c r="A50" s="82" t="str">
        <x:v>КИС 6</x:v>
      </x:c>
      <x:c r="B50" s="82" t="str">
        <x:v>45</x:v>
      </x:c>
      <x:c r="C50" s="81" t="str">
        <x:v>Резервисты</x:v>
      </x:c>
      <x:c r="D50" s="82" t="str">
        <x:v>По графикам должностей</x:v>
      </x:c>
      <x:c r="E50" s="106" t="str">
        <x:v>Абрамов И.С.
официально утверждённая позиция водит…
бригада №4
ПРОВЕРИТЬ ЗАКРЕПЛЕНИЕ</x:v>
      </x:c>
      <x:c r="F50" s="106" t="str">
        <x:v>Кнехт А.Я.
официально утверждённая позиция водит…
бригада №4
ПРОВЕРИТЬ ЗАКРЕПЛЕНИЕ</x:v>
      </x:c>
      <x:c r="G50" s="106" t="str">
        <x:v>Перкусов А.В.
официально утверждённая позиция водит…
бригада №3
ПРОВЕРИТЬ ЗАКРЕПЛЕНИЕ</x:v>
      </x:c>
      <x:c r="H50" s="106" t="str">
        <x:v>Прохоров Д.В.
официально утверждённая позиция водит…
бригада №4
ПРОВЕРИТЬ ЗАКРЕПЛЕНИЕ</x:v>
      </x:c>
      <x:c r="I50" s="109" t="str">
        <x:v>Резервисты
ВАКАНСИЯ
место сохраняется</x:v>
      </x:c>
      <x:c r="J50" s="109" t="str">
        <x:v>Резервисты
ВАКАНСИЯ
место сохраняется</x:v>
      </x:c>
      <x:c r="K50" s="104" t="str">
        <x:v>Проверить закрепления</x:v>
      </x:c>
      <x:c r="L50" s="115" t="str">
        <x:v>4 закрепл. подтвердить</x:v>
      </x:c>
    </x:row>
    <x:row r="51" ht="64" customHeight="1">
      <x:c r="A51" s="82" t="str">
        <x:v>КИС 6</x:v>
      </x:c>
      <x:c r="B51" s="82" t="str">
        <x:v>46</x:v>
      </x:c>
      <x:c r="C51" s="81" t="str">
        <x:v>Сварщики</x:v>
      </x:c>
      <x:c r="D51" s="82" t="str">
        <x:v>По графикам должностей</x:v>
      </x:c>
      <x:c r="E51" s="103" t="str">
        <x:v>Фролов А.И.
Электрогазосварщик
бригада №2</x:v>
      </x:c>
      <x:c r="F51" s="103" t="str">
        <x:v>Прутовой Е.Н.
Электрогазосварщик
бригада №2</x:v>
      </x:c>
      <x:c r="G51" s="103" t="str">
        <x:v>Грауле Е.В.
Электрогазосварщик
бригада №2</x:v>
      </x:c>
      <x:c r="H51" s="103" t="str">
        <x:v>Штеклейн М.А.
Электрогазосварщик
бригада №4</x:v>
      </x:c>
      <x:c r="I51" s="103" t="str">
        <x:v>Базанов А.М.
Электрогазосварщик
бригада №3</x:v>
      </x:c>
      <x:c r="J51" s="103" t="str">
        <x:v>Агулов Д.В.
Электрогазосварщик
бригада №3</x:v>
      </x:c>
      <x:c r="K51" s="107" t="str">
        <x:v>Структурно допустимо</x:v>
      </x:c>
      <x:c r="L51" s="115" t="str"/>
    </x:row>
    <x:row r="52" ht="64" customHeight="1">
      <x:c r="A52" s="82" t="str">
        <x:v>КИС 6</x:v>
      </x:c>
      <x:c r="B52" s="82" t="str">
        <x:v>47</x:v>
      </x:c>
      <x:c r="C52" s="81" t="str">
        <x:v>Транспортная и электротехническая поддержка</x:v>
      </x:c>
      <x:c r="D52" s="82" t="str">
        <x:v>По графикам должностей</x:v>
      </x:c>
      <x:c r="E52" s="103" t="str">
        <x:v>Волгин М.В.
Водитель грузового авто
бригада №4</x:v>
      </x:c>
      <x:c r="F52" s="103" t="str">
        <x:v>Екимов С.Б.
Водитель грузового авто
бригада №4</x:v>
      </x:c>
      <x:c r="G52" s="103" t="str">
        <x:v>Проскуряков К.И.
Подсобный рабочий
бригада №2</x:v>
      </x:c>
      <x:c r="H52" s="103" t="str">
        <x:v>null
Слесарь-электрик по ремонту электрооб…</x:v>
      </x:c>
      <x:c r="I52" s="103" t="str">
        <x:v>Копытов К.Г.
Электрогазосварщик
бригада №3</x:v>
      </x:c>
      <x:c r="J52" s="103" t="str">
        <x:v>Петкау И.В.
Слесарь-электрик по ремонту электрооб…
бригада №4</x:v>
      </x:c>
      <x:c r="K52" s="107" t="str">
        <x:v>Структурно допустимо</x:v>
      </x:c>
      <x:c r="L52" s="115" t="str"/>
    </x:row>
  </x:sheetData>
  <x:mergeCells>
    <x:mergeCell ref="A1:L1"/>
    <x:mergeCell ref="A2:L2"/>
    <x:mergeCell ref="A3:L3"/>
    <x:mergeCell ref="A4:D4"/>
    <x:mergeCell ref="E4:G4"/>
    <x:mergeCell ref="H4:J4"/>
    <x:mergeCell ref="K4:L4"/>
  </x:mergeCells>
  <x:conditionalFormatting sqref="D6:D23">
    <x:cfRule type="containsText" dxfId="4" priority="1" operator="containsText" text="Не назначен"/>
  </x:conditionalFormatting>
  <x:dataValidations count="1">
    <x:dataValidation type="list" sqref="D6:D23">
      <x:formula1>"Не назначен,Стандартный 07:00/19:00,Ранний 06:00/18:00"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  <x:selection pane="topRight" activeCell="C1" sqref="C1"/>
      <x:selection pane="bottomLeft" activeCell="A5" sqref="A5"/>
      <x:selection pane="bottomRight" activeCell="C5" sqref="C5"/>
    </x:sheetView>
  </x:sheetViews>
  <x:sheetFormatPr defaultRowHeight="15"/>
  <x:cols>
    <x:col min="1" max="1" width="29" hidden="0" customWidth="1"/>
    <x:col min="2" max="2" width="35" hidden="0" customWidth="1"/>
    <x:col min="3" max="3" width="13" hidden="0" customWidth="1"/>
    <x:col min="4" max="4" width="10" hidden="0" customWidth="1"/>
    <x:col min="5" max="5" width="12" hidden="0" customWidth="1"/>
    <x:col min="6" max="6" width="10" hidden="0" customWidth="1"/>
    <x:col min="7" max="7" width="9" hidden="0" customWidth="1"/>
    <x:col min="8" max="8" width="30" hidden="0" customWidth="1"/>
    <x:col min="9" max="9" width="36" hidden="0" customWidth="1"/>
  </x:cols>
  <x:sheetData>
    <x:row r="1" ht="34" customHeight="1">
      <x:c r="A1" s="4" t="str">
        <x:v>ОСОБЫЕ ГРАФИКИ — ОТДЕЛЬНО ОТ МЕСЯЧНЫХ ВАХТ</x:v>
      </x:c>
      <x:c r="B1" s="4"/>
      <x:c r="C1" s="4"/>
      <x:c r="D1" s="4"/>
      <x:c r="E1" s="4"/>
      <x:c r="F1" s="4"/>
      <x:c r="G1" s="4"/>
      <x:c r="H1" s="4"/>
      <x:c r="I1" s="4"/>
    </x:row>
    <x:row r="2" ht="44" customHeight="1">
      <x:c r="A2" s="9" t="str">
        <x:v>Эти 12 сотрудников включаются в конкретный заезд только по фактическим датам. Номер их бригады не определяет вахту Деушева или Косарева.</x:v>
      </x:c>
      <x:c r="B2" s="9"/>
      <x:c r="C2" s="9"/>
      <x:c r="D2" s="9"/>
      <x:c r="E2" s="9"/>
      <x:c r="F2" s="9"/>
      <x:c r="G2" s="9"/>
      <x:c r="H2" s="9"/>
      <x:c r="I2" s="9"/>
    </x:row>
    <x:row r="3" ht="34" customHeight="1">
      <x:c r="A3" s="120" t="str">
        <x:v>Пока даты не подтверждены, сотрудники этого листа не подмешиваются ни в одну месячную вахту и не занимают койку в расчёте конкретного заезда автоматически.</x:v>
      </x:c>
      <x:c r="B3" s="120"/>
      <x:c r="C3" s="120"/>
      <x:c r="D3" s="120"/>
      <x:c r="E3" s="120"/>
      <x:c r="F3" s="120"/>
      <x:c r="G3" s="120"/>
      <x:c r="H3" s="120"/>
      <x:c r="I3" s="120"/>
    </x:row>
    <x:row r="4" ht="34" customHeight="1">
      <x:c r="A4" s="66" t="str">
        <x:v>Сотрудник</x:v>
      </x:c>
      <x:c r="B4" s="66" t="str">
        <x:v>Официальная должность</x:v>
      </x:c>
      <x:c r="C4" s="66" t="str">
        <x:v>График</x:v>
      </x:c>
      <x:c r="D4" s="66" t="str">
        <x:v>Бригада</x:v>
      </x:c>
      <x:c r="E4" s="66" t="str">
        <x:v>Общежитие</x:v>
      </x:c>
      <x:c r="F4" s="66" t="str">
        <x:v>Комната</x:v>
      </x:c>
      <x:c r="G4" s="66" t="str">
        <x:v>Койка</x:v>
      </x:c>
      <x:c r="H4" s="66" t="str">
        <x:v>Что проверить</x:v>
      </x:c>
      <x:c r="I4" s="66" t="str">
        <x:v>Комментарий</x:v>
      </x:c>
    </x:row>
    <x:row r="5" ht="42" customHeight="1">
      <x:c r="A5" s="81" t="str">
        <x:v>Магомедов Расул Айдемирович</x:v>
      </x:c>
      <x:c r="B5" s="81" t="str">
        <x:v>Машинист экскаватора</x:v>
      </x:c>
      <x:c r="C5" s="82" t="str">
        <x:v>График №4</x:v>
      </x:c>
      <x:c r="D5" s="82" t="str">
        <x:v>№2</x:v>
      </x:c>
      <x:c r="E5" s="82" t="str">
        <x:v>КИС 5</x:v>
      </x:c>
      <x:c r="F5" s="82" t="str">
        <x:v>22</x:v>
      </x:c>
      <x:c r="G5" s="82" t="str">
        <x:v>A2</x:v>
      </x:c>
      <x:c r="H5" s="122" t="str">
        <x:v>Подтвердить даты заезда и выезда</x:v>
      </x:c>
      <x:c r="I5" s="115" t="str"/>
    </x:row>
    <x:row r="6" ht="42" customHeight="1">
      <x:c r="A6" s="81" t="str">
        <x:v>Шкабара Мария Андреевна</x:v>
      </x:c>
      <x:c r="B6" s="81" t="str">
        <x:v>Ведущий инженер по охране окружающей среды</x:v>
      </x:c>
      <x:c r="C6" s="82" t="str">
        <x:v>График №14</x:v>
      </x:c>
      <x:c r="D6" s="82" t="str">
        <x:v>№1</x:v>
      </x:c>
      <x:c r="E6" s="82" t="str">
        <x:v>КИС 5</x:v>
      </x:c>
      <x:c r="F6" s="82" t="str">
        <x:v>23</x:v>
      </x:c>
      <x:c r="G6" s="82" t="str">
        <x:v>A2</x:v>
      </x:c>
      <x:c r="H6" s="122" t="str">
        <x:v>Подтвердить даты заезда и выезда</x:v>
      </x:c>
      <x:c r="I6" s="115" t="str"/>
    </x:row>
    <x:row r="7" ht="42" customHeight="1">
      <x:c r="A7" s="81" t="str">
        <x:v>Белоусов Роман Николаевич</x:v>
      </x:c>
      <x:c r="B7" s="81" t="str">
        <x:v>Ведущий инженер по охране окружающей среды</x:v>
      </x:c>
      <x:c r="C7" s="82" t="str">
        <x:v>График №14</x:v>
      </x:c>
      <x:c r="D7" s="82" t="str">
        <x:v>№2</x:v>
      </x:c>
      <x:c r="E7" s="82" t="str">
        <x:v>КИС 5</x:v>
      </x:c>
      <x:c r="F7" s="82" t="str">
        <x:v>28</x:v>
      </x:c>
      <x:c r="G7" s="82" t="str">
        <x:v>A3</x:v>
      </x:c>
      <x:c r="H7" s="122" t="str">
        <x:v>Подтвердить даты заезда и выезда</x:v>
      </x:c>
      <x:c r="I7" s="115" t="str"/>
    </x:row>
    <x:row r="8" ht="42" customHeight="1">
      <x:c r="A8" s="81" t="str">
        <x:v>Израйлев Алексей Евгеньевич</x:v>
      </x:c>
      <x:c r="B8" s="81" t="str">
        <x:v>Ведущий специалист</x:v>
      </x:c>
      <x:c r="C8" s="82" t="str">
        <x:v>График №15</x:v>
      </x:c>
      <x:c r="D8" s="82" t="str">
        <x:v>№1</x:v>
      </x:c>
      <x:c r="E8" s="82" t="str">
        <x:v>КИС 5</x:v>
      </x:c>
      <x:c r="F8" s="82" t="str">
        <x:v>28</x:v>
      </x:c>
      <x:c r="G8" s="82" t="str">
        <x:v>B3</x:v>
      </x:c>
      <x:c r="H8" s="122" t="str">
        <x:v>Подтвердить даты заезда и выезда</x:v>
      </x:c>
      <x:c r="I8" s="115" t="str"/>
    </x:row>
    <x:row r="9" ht="42" customHeight="1">
      <x:c r="A9" s="81" t="str">
        <x:v>Привалов Владимир Игоревич</x:v>
      </x:c>
      <x:c r="B9" s="81" t="str">
        <x:v>Ведущий специалист</x:v>
      </x:c>
      <x:c r="C9" s="82" t="str">
        <x:v>График №15</x:v>
      </x:c>
      <x:c r="D9" s="82" t="str">
        <x:v>№1</x:v>
      </x:c>
      <x:c r="E9" s="82" t="str">
        <x:v>КИС 5</x:v>
      </x:c>
      <x:c r="F9" s="82" t="str">
        <x:v>22</x:v>
      </x:c>
      <x:c r="G9" s="82" t="str">
        <x:v>A1</x:v>
      </x:c>
      <x:c r="H9" s="122" t="str">
        <x:v>Подтвердить даты заезда и выезда</x:v>
      </x:c>
      <x:c r="I9" s="115" t="str"/>
    </x:row>
    <x:row r="10" ht="42" customHeight="1">
      <x:c r="A10" s="81" t="str">
        <x:v>Перелыгин Василий Евгеньевич</x:v>
      </x:c>
      <x:c r="B10" s="81" t="str">
        <x:v>Ведущий специалист</x:v>
      </x:c>
      <x:c r="C10" s="82" t="str">
        <x:v>График №15</x:v>
      </x:c>
      <x:c r="D10" s="82" t="str">
        <x:v>№2</x:v>
      </x:c>
      <x:c r="E10" s="82" t="str">
        <x:v>КИС 5</x:v>
      </x:c>
      <x:c r="F10" s="82" t="str">
        <x:v>22</x:v>
      </x:c>
      <x:c r="G10" s="82" t="str">
        <x:v>A1</x:v>
      </x:c>
      <x:c r="H10" s="122" t="str">
        <x:v>Подтвердить даты заезда и выезда</x:v>
      </x:c>
      <x:c r="I10" s="115" t="str"/>
    </x:row>
    <x:row r="11" ht="42" customHeight="1">
      <x:c r="A11" s="81" t="str">
        <x:v>Хорук Никита Сергеевич</x:v>
      </x:c>
      <x:c r="B11" s="81" t="str">
        <x:v>Ведущий специалист</x:v>
      </x:c>
      <x:c r="C11" s="82" t="str">
        <x:v>График №15</x:v>
      </x:c>
      <x:c r="D11" s="82" t="str">
        <x:v>№2</x:v>
      </x:c>
      <x:c r="E11" s="82" t="str">
        <x:v>КИС 5</x:v>
      </x:c>
      <x:c r="F11" s="82" t="str">
        <x:v>28</x:v>
      </x:c>
      <x:c r="G11" s="82" t="str">
        <x:v>B3</x:v>
      </x:c>
      <x:c r="H11" s="122" t="str">
        <x:v>Подтвердить даты заезда и выезда</x:v>
      </x:c>
      <x:c r="I11" s="115" t="str"/>
    </x:row>
    <x:row r="12" ht="42" customHeight="1">
      <x:c r="A12" s="81" t="str">
        <x:v>Дьячков Максим Юрьевич</x:v>
      </x:c>
      <x:c r="B12" s="81" t="str">
        <x:v>Водитель легкового автомобиля</x:v>
      </x:c>
      <x:c r="C12" s="82" t="str">
        <x:v>График №16</x:v>
      </x:c>
      <x:c r="D12" s="82" t="str">
        <x:v>№1</x:v>
      </x:c>
      <x:c r="E12" s="82" t="str">
        <x:v>КИС 6</x:v>
      </x:c>
      <x:c r="F12" s="82" t="str">
        <x:v>44</x:v>
      </x:c>
      <x:c r="G12" s="82" t="str">
        <x:v>B1</x:v>
      </x:c>
      <x:c r="H12" s="122" t="str">
        <x:v>Подтвердить даты заезда и выезда</x:v>
      </x:c>
      <x:c r="I12" s="115" t="str"/>
    </x:row>
    <x:row r="13" ht="42" customHeight="1">
      <x:c r="A13" s="81" t="str">
        <x:v>Петушко Фёдор Васильевич</x:v>
      </x:c>
      <x:c r="B13" s="81" t="str">
        <x:v>Водитель легкового автомобиля</x:v>
      </x:c>
      <x:c r="C13" s="82" t="str">
        <x:v>График №16</x:v>
      </x:c>
      <x:c r="D13" s="82" t="str">
        <x:v>№1</x:v>
      </x:c>
      <x:c r="E13" s="82" t="str">
        <x:v>КИС 6</x:v>
      </x:c>
      <x:c r="F13" s="82" t="str">
        <x:v>44</x:v>
      </x:c>
      <x:c r="G13" s="82" t="str">
        <x:v>B2</x:v>
      </x:c>
      <x:c r="H13" s="122" t="str">
        <x:v>Подтвердить даты заезда и выезда</x:v>
      </x:c>
      <x:c r="I13" s="115" t="str"/>
    </x:row>
    <x:row r="14" ht="42" customHeight="1">
      <x:c r="A14" s="81" t="str">
        <x:v>Кадышев Максим Олегович</x:v>
      </x:c>
      <x:c r="B14" s="81" t="str">
        <x:v>Водитель легкового автомобиля</x:v>
      </x:c>
      <x:c r="C14" s="82" t="str">
        <x:v>График №16</x:v>
      </x:c>
      <x:c r="D14" s="82" t="str">
        <x:v>№2</x:v>
      </x:c>
      <x:c r="E14" s="82" t="str">
        <x:v>КИС 6</x:v>
      </x:c>
      <x:c r="F14" s="82" t="str">
        <x:v>44</x:v>
      </x:c>
      <x:c r="G14" s="82" t="str">
        <x:v>B1</x:v>
      </x:c>
      <x:c r="H14" s="122" t="str">
        <x:v>Подтвердить даты заезда и выезда</x:v>
      </x:c>
      <x:c r="I14" s="115" t="str"/>
    </x:row>
    <x:row r="15" ht="42" customHeight="1">
      <x:c r="A15" s="81" t="str">
        <x:v>Соловьев Владимир Владимирович</x:v>
      </x:c>
      <x:c r="B15" s="81" t="str">
        <x:v>Водитель легкового автомобиля</x:v>
      </x:c>
      <x:c r="C15" s="82" t="str">
        <x:v>График №16</x:v>
      </x:c>
      <x:c r="D15" s="82" t="str">
        <x:v>№2</x:v>
      </x:c>
      <x:c r="E15" s="82" t="str">
        <x:v>КИС 5</x:v>
      </x:c>
      <x:c r="F15" s="82" t="str">
        <x:v>22</x:v>
      </x:c>
      <x:c r="G15" s="82" t="str">
        <x:v>A3</x:v>
      </x:c>
      <x:c r="H15" s="122" t="str">
        <x:v>Подтвердить даты заезда и выезда</x:v>
      </x:c>
      <x:c r="I15" s="115" t="str"/>
    </x:row>
    <x:row r="16" ht="42" customHeight="1">
      <x:c r="A16" s="81" t="str">
        <x:v>Сотников Геннадий Олегович</x:v>
      </x:c>
      <x:c r="B16" s="81" t="str">
        <x:v>Водитель легкового автомобиля</x:v>
      </x:c>
      <x:c r="C16" s="82" t="str">
        <x:v>График №16</x:v>
      </x:c>
      <x:c r="D16" s="82" t="str">
        <x:v>№2</x:v>
      </x:c>
      <x:c r="E16" s="82" t="str">
        <x:v>КИС 6</x:v>
      </x:c>
      <x:c r="F16" s="82" t="str">
        <x:v>44</x:v>
      </x:c>
      <x:c r="G16" s="82" t="str">
        <x:v>B2</x:v>
      </x:c>
      <x:c r="H16" s="122" t="str">
        <x:v>Подтвердить даты заезда и выезда</x:v>
      </x:c>
      <x:c r="I16" s="115" t="str"/>
    </x:row>
  </x:sheetData>
  <x:mergeCells>
    <x:mergeCell ref="A1:I1"/>
    <x:mergeCell ref="A2:I2"/>
    <x:mergeCell ref="A3:I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  <x:selection pane="topRight" activeCell="C1" sqref="C1"/>
      <x:selection pane="bottomLeft" activeCell="A5" sqref="A5"/>
      <x:selection pane="bottomRight" activeCell="C5" sqref="C5"/>
    </x:sheetView>
  </x:sheetViews>
  <x:sheetFormatPr defaultRowHeight="15"/>
  <x:cols>
    <x:col min="1" max="1" width="6" hidden="0" customWidth="1"/>
    <x:col min="2" max="2" width="39" hidden="0" customWidth="1"/>
    <x:col min="3" max="3" width="58" hidden="0" customWidth="1"/>
    <x:col min="4" max="4" width="55" hidden="0" customWidth="1"/>
    <x:col min="5" max="5" width="17" hidden="0" customWidth="1"/>
    <x:col min="6" max="6" width="28" hidden="0" customWidth="1"/>
    <x:col min="7" max="7" width="36" hidden="0" customWidth="1"/>
  </x:cols>
  <x:sheetData>
    <x:row r="1" ht="34" customHeight="1">
      <x:c r="A1" s="4" t="str">
        <x:v>ЧТО НУЖНО РЕШИТЬ ДО ЗАМОРОЗКИ КАРТЫ</x:v>
      </x:c>
      <x:c r="B1" s="4"/>
      <x:c r="C1" s="4"/>
      <x:c r="D1" s="4"/>
      <x:c r="E1" s="4"/>
      <x:c r="F1" s="4"/>
      <x:c r="G1" s="4"/>
    </x:row>
    <x:row r="2" ht="44" customHeight="1">
      <x:c r="A2" s="9" t="str">
        <x:v>Здесь только реальные открытые вопросы. После ответа строка отмечается как подтверждённая или исправленная.</x:v>
      </x:c>
      <x:c r="B2" s="9"/>
      <x:c r="C2" s="9"/>
      <x:c r="D2" s="9"/>
      <x:c r="E2" s="9"/>
      <x:c r="F2" s="9"/>
      <x:c r="G2" s="9"/>
    </x:row>
    <x:row r="3" ht="38" customHeight="1">
      <x:c r="A3" s="133" t="str">
        <x:v>Главный текущий конфликт: при пиковом расчёте 268 сотрудников компании + 3 подрядчика требуют 271 место при фонде 270; отдельная подрядная комната не гарантирована.</x:v>
      </x:c>
      <x:c r="B3" s="134"/>
      <x:c r="C3" s="134"/>
      <x:c r="D3" s="134"/>
      <x:c r="E3" s="134"/>
      <x:c r="F3" s="134"/>
      <x:c r="G3" s="135"/>
    </x:row>
    <x:row r="4" ht="34" customHeight="1">
      <x:c r="A4" s="66" t="str">
        <x:v>№</x:v>
      </x:c>
      <x:c r="B4" s="66" t="str">
        <x:v>Вопрос</x:v>
      </x:c>
      <x:c r="C4" s="66" t="str">
        <x:v>Почему открыт</x:v>
      </x:c>
      <x:c r="D4" s="66" t="str">
        <x:v>Что требуется</x:v>
      </x:c>
      <x:c r="E4" s="66" t="str">
        <x:v>Состояние</x:v>
      </x:c>
      <x:c r="F4" s="66" t="str">
        <x:v>Кто подтверждает</x:v>
      </x:c>
      <x:c r="G4" s="66" t="str">
        <x:v>Ответ / решение</x:v>
      </x:c>
    </x:row>
    <x:row r="5" ht="64" customHeight="1">
      <x:c r="A5" s="82" t="n">
        <x:v>1</x:v>
      </x:c>
      <x:c r="B5" s="81" t="str">
        <x:v>Подрядчики живут вместе, отдельно от сотрудников компании и по остаточному принципу</x:v>
      </x:c>
      <x:c r="C5" s="81" t="str">
        <x:v>В текущем пиковом расчёте 268 работников компании и 3 подрядчика требуют 271 место при наличии 270. Свободны лишь 2 разрозненные койки, а полностью отдельная комната подрядчиков не гарантирована.</x:v>
      </x:c>
      <x:c r="D5" s="81" t="str">
        <x:v>До заморозки выделить отдельную совместимую комнату за счёт подтверждённых непересекающихся отсутствий либо получить решение об изменении жилфонда/состава заезда. Смешанное размещение не создавать.</x:v>
      </x:c>
      <x:c r="E5" s="82" t="str">
        <x:v>Конфликт</x:v>
      </x:c>
      <x:c r="F5" s="82" t="str">
        <x:v>Руководитель участка</x:v>
      </x:c>
      <x:c r="G5" s="115" t="str"/>
    </x:row>
    <x:row r="6" ht="64" customHeight="1">
      <x:c r="A6" s="82" t="n">
        <x:v>2</x:v>
      </x:c>
      <x:c r="B6" s="81" t="str">
        <x:v>Три одновременно отдыхающих работника распределяются по блокам 2+1, а не 3+0</x:v>
      </x:c>
      <x:c r="C6" s="81" t="str">
        <x:v>Для комнат тяжёлой техники построены парные места А/Б и допустимый шаблон 2+1. Но фактические дневные и ночные назначения людей на дату заезда пока не подтверждены.</x:v>
      </x:c>
      <x:c r="D6" s="81" t="str">
        <x:v>После получения расстановки проверить каждую комнату поимённо: в любой работающей смене отдыхающие должны занимать блоки 2 и 1.</x:v>
      </x:c>
      <x:c r="E6" s="82" t="str">
        <x:v>Открыто</x:v>
      </x:c>
      <x:c r="F6" s="82" t="str">
        <x:v>Ответственный по расселению</x:v>
      </x:c>
      <x:c r="G6" s="115" t="str"/>
    </x:row>
    <x:row r="7" ht="64" customHeight="1">
      <x:c r="A7" s="82" t="n">
        <x:v>3</x:v>
      </x:c>
      <x:c r="B7" s="81" t="str">
        <x:v>Ранний режим назначается только целой комнате</x:v>
      </x:c>
      <x:c r="C7" s="81" t="str">
        <x:v>Проверены все количества от 0 до 18 ранних комнат и 36 переходов между соседними значениями: койки не меняются, неполная тройка блокируется. В исходных данных нет утверждённого перечня ранних комнат на конкретный период.</x:v>
      </x:c>
      <x:c r="D7" s="81" t="str">
        <x:v>Горному мастеру/Диспетчеру перед заездом отметить целые комнаты как ранние или стандартные; переход выполнять без сокращения отдыха работников.</x:v>
      </x:c>
      <x:c r="E7" s="82" t="str">
        <x:v>Открыто</x:v>
      </x:c>
      <x:c r="F7" s="82" t="str">
        <x:v>Горный мастер/Диспетчер</x:v>
      </x:c>
      <x:c r="G7" s="115" t="str"/>
    </x:row>
    <x:row r="8" ht="64" customHeight="1">
      <x:c r="A8" s="82" t="n">
        <x:v>4</x:v>
      </x:c>
      <x:c r="B8" s="81" t="str">
        <x:v>Резервисты живут вместе, плановый пул — 5–6 человек</x:v>
      </x:c>
      <x:c r="C8" s="81" t="str">
        <x:v>Комната КИС6-45 вмещает 5–6 резервистов; размеры 5 и 6 проходят проверку, 7 даёт дефицит одного места. Для части резерва не заполнена фактическая дневная/ночная смена, а по одной месячной вахте в снимке найдено только 4 человека.</x:v>
      </x:c>
      <x:c r="D8" s="81" t="str">
        <x:v>Подтвердить фактические 5–6 фамилий каждой вахты и разложить их по сменам 3/2 либо 3/3.</x:v>
      </x:c>
      <x:c r="E8" s="82" t="str">
        <x:v>Открыто</x:v>
      </x:c>
      <x:c r="F8" s="82" t="str">
        <x:v>Заместитель начальника участка</x:v>
      </x:c>
      <x:c r="G8" s="115" t="str"/>
    </x:row>
    <x:row r="9" ht="64" customHeight="1">
      <x:c r="A9" s="82" t="n">
        <x:v>5</x:v>
      </x:c>
      <x:c r="B9" s="81" t="str">
        <x:v>Группу водителей легкового транспорта не разделять</x:v>
      </x:c>
      <x:c r="C9" s="81" t="str">
        <x:v>Каркас сохраняет группу из 9 водителей в КИС6-44 на 6 физических койках и не меняет комнату при замене Geely/JAC. Для 4 человек, совместно использующих 2 койки, отсутствуют даты особых графиков, поэтому отсутствие пересечения ещё не доказано.</x:v>
      </x:c>
      <x:c r="D9" s="81" t="str">
        <x:v>Сохранить состав группы и подтвердить даты заезда/выезда четырёх работников особых графиков.</x:v>
      </x:c>
      <x:c r="E9" s="82" t="str">
        <x:v>Открыто</x:v>
      </x:c>
      <x:c r="F9" s="82" t="str">
        <x:v>Табельщик/делопроизводитель</x:v>
      </x:c>
      <x:c r="G9" s="115" t="str"/>
    </x:row>
    <x:row r="10" ht="64" customHeight="1">
      <x:c r="A10" s="82" t="n">
        <x:v>6</x:v>
      </x:c>
      <x:c r="B10" s="81" t="str">
        <x:v>Мужчины и женщины живут в разных комнатах</x:v>
      </x:c>
      <x:c r="C10" s="81" t="str">
        <x:v>По имеющемуся ориентировочному признаку смешанных комнат не найдено, однако официальное кадровое поле пола отсутствует у всех 479 сотрудников. Предположение по имени не является доказательством.</x:v>
      </x:c>
      <x:c r="D10" s="81" t="str">
        <x:v>Перед утверждением один раз сверить пол по кадровому списку и повторить автоматическую проверку всех комнат.</x:v>
      </x:c>
      <x:c r="E10" s="82" t="str">
        <x:v>Открыто</x:v>
      </x:c>
      <x:c r="F10" s="82" t="str">
        <x:v>Кадровая служба</x:v>
      </x:c>
      <x:c r="G10" s="115" t="str"/>
    </x:row>
    <x:row r="11" ht="64" customHeight="1">
      <x:c r="A11" s="82" t="n">
        <x:v>7</x:v>
      </x:c>
      <x:c r="B11" s="81" t="str">
        <x:v>ОТ/ПБ/БДД не селить с непосредственно контролируемыми работниками; ИТР по возможности собирать рядом</x:v>
      </x:c>
      <x:c r="C11" s="81" t="str">
        <x:v>Для рассматриваемой комнаты КИС5-28 определены 8 жильцов, но нет подтверждённого перечня пар «кто кого непосредственно контролирует». Поэтому отсутствие бытового конфликта пока не доказано.</x:v>
      </x:c>
      <x:c r="D11" s="81" t="str">
        <x:v>Ответственному один раз отметить несовместимые пары; затем разместить ОТ/ПБ/БДД с нейтральным ИТР и проверить близость остальных ИТР к руководящей зоне.</x:v>
      </x:c>
      <x:c r="E11" s="82" t="str">
        <x:v>Открыто</x:v>
      </x:c>
      <x:c r="F11" s="82" t="str">
        <x:v>Руководитель участка</x:v>
      </x:c>
      <x:c r="G11" s="115" t="str"/>
    </x:row>
    <x:row r="12" ht="64" customHeight="1">
      <x:c r="A12" s="82" t="n">
        <x:v>8</x:v>
      </x:c>
      <x:c r="B12" s="81" t="str">
        <x:v>Замораживать только полностью проверенную поимённую карту</x:v>
      </x:c>
      <x:c r="C12" s="81" t="str">
        <x:v>Каркас прошёл 30 классов событий, все 900 упорядоченных пары, 1 000 комбинированных последовательностей и граничные проверки без внутренних сбоев. Строгий порядок выбран автоматически для 38 анкеров нетяжёлой техники, но связи 118 работников с анкерами, 7 помощников, особые календари, режимы комнат, пол и контрольные конфликты требуют проверки; весь поимённый фонд 270 коек ещё не доказан.</x:v>
      </x:c>
      <x:c r="D12" s="81" t="str">
        <x:v>Наложить подтверждённые фамилии и календари, устранить дефицит подрядчиков и только после повторной проверки всех 270 мест присвоить карте статус «Эталон».</x:v>
      </x:c>
      <x:c r="E12" s="82" t="str">
        <x:v>Открыто</x:v>
      </x:c>
      <x:c r="F12" s="82" t="str">
        <x:v>Заместитель начальника участка</x:v>
      </x:c>
      <x:c r="G12" s="115" t="str"/>
    </x:row>
  </x:sheetData>
  <x:mergeCells>
    <x:mergeCell ref="A1:G1"/>
    <x:mergeCell ref="A2:G2"/>
    <x:mergeCell ref="A3:G3"/>
  </x:mergeCells>
  <x:conditionalFormatting sqref="E5:E12">
    <x:cfRule type="containsText" dxfId="5" priority="1" operator="containsText" text="Подтверждено"/>
    <x:cfRule type="containsText" dxfId="6" priority="2" operator="containsText" text="Исправлено"/>
    <x:cfRule type="containsText" dxfId="7" priority="3" operator="containsText" text="Открыто"/>
    <x:cfRule type="containsText" dxfId="8" priority="4" operator="containsText" text="Конфликт"/>
  </x:conditionalFormatting>
  <x:dataValidations count="1">
    <x:dataValidation type="list" sqref="E5:E12">
      <x:formula1>"Открыто,Подтверждено,Исправлено,Конфликт"</x:formula1>
    </x:dataValidation>
  </x:dataValidations>
  <x:pageMargins left="0.7" right="0.7" top="0.75" bottom="0.75" header="0.3" footer="0.3"/>
</x:worksheet>
</file>